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tern Map" sheetId="2" state="visible" r:id="rId4"/>
    <sheet name="Problem Tracker" sheetId="3" state="visible" r:id="rId5"/>
    <sheet name="How to Use" sheetId="4" state="visible" r:id="rId6"/>
  </sheets>
  <definedNames>
    <definedName function="false" hidden="true" localSheetId="1" name="_xlnm._FilterDatabase" vbProcedure="false">'Pattern Map'!$A$1:$N$162</definedName>
    <definedName function="false" hidden="true" localSheetId="2" name="_xlnm._FilterDatabase" vbProcedure="false">'Problem Tracker'!$A$1:$R$541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<sst xmlns="http://schemas.openxmlformats.org/spreadsheetml/2006/main" count="6747" uniqueCount="1770">
  <si>
    <t xml:space="preserve">DSA PATTERNS MASTER TRACKER — Product-Based Company Prep</t>
  </si>
  <si>
    <t xml:space="preserve">Update Status in 'Problem Tracker' — everything here recalculates automatically.</t>
  </si>
  <si>
    <t xml:space="preserve">Bucket</t>
  </si>
  <si>
    <t xml:space="preserve">Total</t>
  </si>
  <si>
    <t xml:space="preserve">Solved</t>
  </si>
  <si>
    <t xml:space="preserve">% Done</t>
  </si>
  <si>
    <t xml:space="preserve">Total Problems</t>
  </si>
  <si>
    <t xml:space="preserve">Easy</t>
  </si>
  <si>
    <t xml:space="preserve">Solved / Mastered</t>
  </si>
  <si>
    <t xml:space="preserve">Medium</t>
  </si>
  <si>
    <t xml:space="preserve">Overall Progress</t>
  </si>
  <si>
    <t xml:space="preserve">Hard</t>
  </si>
  <si>
    <t xml:space="preserve">Due for Revision Today</t>
  </si>
  <si>
    <t xml:space="preserve">★ Blind 75</t>
  </si>
  <si>
    <t xml:space="preserve">◆ NeetCode 150 (extra)</t>
  </si>
  <si>
    <t xml:space="preserve">● Must-Know Classic</t>
  </si>
  <si>
    <t xml:space="preserve">P0 + P1 (core set)</t>
  </si>
  <si>
    <t xml:space="preserve">PROGRESS BY DATA STRUCTURE</t>
  </si>
  <si>
    <t xml:space="preserve">Data Structure</t>
  </si>
  <si>
    <t xml:space="preserve">Week</t>
  </si>
  <si>
    <t xml:space="preserve">Hash Map &amp; Set</t>
  </si>
  <si>
    <t xml:space="preserve">W01</t>
  </si>
  <si>
    <t xml:space="preserve">Array</t>
  </si>
  <si>
    <t xml:space="preserve">W02–03</t>
  </si>
  <si>
    <t xml:space="preserve">String</t>
  </si>
  <si>
    <t xml:space="preserve">W03</t>
  </si>
  <si>
    <t xml:space="preserve">Matrix (2D Array)</t>
  </si>
  <si>
    <t xml:space="preserve">Stack</t>
  </si>
  <si>
    <t xml:space="preserve">W04</t>
  </si>
  <si>
    <t xml:space="preserve">Queue / Deque</t>
  </si>
  <si>
    <t xml:space="preserve">Binary Search</t>
  </si>
  <si>
    <t xml:space="preserve">W05</t>
  </si>
  <si>
    <t xml:space="preserve">Linked List</t>
  </si>
  <si>
    <t xml:space="preserve">W06</t>
  </si>
  <si>
    <t xml:space="preserve">Intervals</t>
  </si>
  <si>
    <t xml:space="preserve">Trees</t>
  </si>
  <si>
    <t xml:space="preserve">W07–08</t>
  </si>
  <si>
    <t xml:space="preserve">Heap / Priority Queue</t>
  </si>
  <si>
    <t xml:space="preserve">W09</t>
  </si>
  <si>
    <t xml:space="preserve">Recursion &amp; Backtracking</t>
  </si>
  <si>
    <t xml:space="preserve">W10</t>
  </si>
  <si>
    <t xml:space="preserve">Trie</t>
  </si>
  <si>
    <t xml:space="preserve">Graphs</t>
  </si>
  <si>
    <t xml:space="preserve">W11–12</t>
  </si>
  <si>
    <t xml:space="preserve">Greedy</t>
  </si>
  <si>
    <t xml:space="preserve">W13</t>
  </si>
  <si>
    <t xml:space="preserve">Bit Manipulation</t>
  </si>
  <si>
    <t xml:space="preserve">Dynamic Programming</t>
  </si>
  <si>
    <t xml:space="preserve">W14–16</t>
  </si>
  <si>
    <t xml:space="preserve">Sorting</t>
  </si>
  <si>
    <t xml:space="preserve">W16</t>
  </si>
  <si>
    <t xml:space="preserve">Math &amp; Geometry</t>
  </si>
  <si>
    <t xml:space="preserve">Design</t>
  </si>
  <si>
    <t xml:space="preserve">W17</t>
  </si>
  <si>
    <t xml:space="preserve">Advanced Data Structures</t>
  </si>
  <si>
    <t xml:space="preserve">TOTAL</t>
  </si>
  <si>
    <t xml:space="preserve">17-WEEK STUDY PLAN</t>
  </si>
  <si>
    <t xml:space="preserve">Focus</t>
  </si>
  <si>
    <t xml:space="preserve">Problems</t>
  </si>
  <si>
    <t xml:space="preserve">Hash Map &amp; Set: Hashing Fundamentals</t>
  </si>
  <si>
    <t xml:space="preserve">W02</t>
  </si>
  <si>
    <t xml:space="preserve">Array: Two Pointers; Array: In-place Manipulation</t>
  </si>
  <si>
    <t xml:space="preserve">Array: Sliding Window; Array: Prefix Sum; Array: Kadane's / Subarray; String: Palindrome; String: Anagram / Frequency; String: Pattern Matching; String: Parsing &amp; Simulation; Matrix (2D Array): Matrix Manipulation</t>
  </si>
  <si>
    <t xml:space="preserve">Stack: Classic Stack; Stack: Monotonic Stack; Stack: Stack Design; Queue / Deque: Queue Patterns</t>
  </si>
  <si>
    <t xml:space="preserve">Binary Search: Binary Search on Index; Binary Search: Binary Search on Answer</t>
  </si>
  <si>
    <t xml:space="preserve">Linked List: Fast &amp; Slow Pointers; Linked List: In-place Reversal; Linked List: Pointer Manipulation; Intervals: Interval Patterns</t>
  </si>
  <si>
    <t xml:space="preserve">W07</t>
  </si>
  <si>
    <t xml:space="preserve">Trees: DFS Traversal; Trees: BFS / Level Order</t>
  </si>
  <si>
    <t xml:space="preserve">W08</t>
  </si>
  <si>
    <t xml:space="preserve">Trees: Recursive Return Values; Trees: Binary Search Tree; Trees: Construction &amp; Serialization</t>
  </si>
  <si>
    <t xml:space="preserve">Heap / Priority Queue: Heap Patterns</t>
  </si>
  <si>
    <t xml:space="preserve">Recursion &amp; Backtracking: Recursion Basics; Recursion &amp; Backtracking: Backtracking; Trie: Trie Patterns</t>
  </si>
  <si>
    <t xml:space="preserve">W11</t>
  </si>
  <si>
    <t xml:space="preserve">Graphs: Grid Graphs (DFS / BFS); Graphs: Graph Traversal; Graphs: Topological Sort</t>
  </si>
  <si>
    <t xml:space="preserve">W12</t>
  </si>
  <si>
    <t xml:space="preserve">Graphs: Union-Find (DSU); Graphs: Shortest Path (Weighted); Graphs: Advanced Graph</t>
  </si>
  <si>
    <t xml:space="preserve">Greedy: Greedy Patterns; Bit Manipulation: Bit Tricks</t>
  </si>
  <si>
    <t xml:space="preserve">W14</t>
  </si>
  <si>
    <t xml:space="preserve">Dynamic Programming: Linear DP; Dynamic Programming: Grid / 2D DP; Dynamic Programming: Knapsack</t>
  </si>
  <si>
    <t xml:space="preserve">W15</t>
  </si>
  <si>
    <t xml:space="preserve">Dynamic Programming: Subsequence DP; Dynamic Programming: State Machine DP</t>
  </si>
  <si>
    <t xml:space="preserve">Dynamic Programming: Interval DP &amp; Games; Dynamic Programming: Advanced DP; Sorting: Sorting Applications; Math &amp; Geometry: Math; Math &amp; Geometry: Geometry</t>
  </si>
  <si>
    <t xml:space="preserve">Design: System / Data-Structure Design; Advanced Data Structures: Range Query Structures</t>
  </si>
  <si>
    <t xml:space="preserve">Pattern</t>
  </si>
  <si>
    <t xml:space="preserve">Sub-Pattern</t>
  </si>
  <si>
    <t xml:space="preserve">Interview Weight</t>
  </si>
  <si>
    <t xml:space="preserve">How to Recognize (Trigger)</t>
  </si>
  <si>
    <t xml:space="preserve">Core Technique / Template</t>
  </si>
  <si>
    <t xml:space="preserve">Complexity</t>
  </si>
  <si>
    <t xml:space="preserve">▌ HASH MAP &amp; SET</t>
  </si>
  <si>
    <t xml:space="preserve">Hashing Fundamentals</t>
  </si>
  <si>
    <t xml:space="preserve">Complement Lookup</t>
  </si>
  <si>
    <t xml:space="preserve">🔥 Very High</t>
  </si>
  <si>
    <t xml:space="preserve">Find a pair/tuple summing to target in unsorted data</t>
  </si>
  <si>
    <t xml:space="preserve">Store value→index; for each x check target−x in map</t>
  </si>
  <si>
    <t xml:space="preserve">O(n) time, O(n) space</t>
  </si>
  <si>
    <t xml:space="preserve">Frequency Counting</t>
  </si>
  <si>
    <t xml:space="preserve">Counts, duplicates, 'appears k times', compare multisets</t>
  </si>
  <si>
    <t xml:space="preserve">Counter / int[26] array; compare or scan counts</t>
  </si>
  <si>
    <t xml:space="preserve">O(n)</t>
  </si>
  <si>
    <t xml:space="preserve">Grouping by Canonical Key</t>
  </si>
  <si>
    <t xml:space="preserve">High</t>
  </si>
  <si>
    <t xml:space="preserve">Group items that are 'equivalent' (anagrams, shifts, same content)</t>
  </si>
  <si>
    <t xml:space="preserve">Compute a canonical key (sorted string / count tuple) → list</t>
  </si>
  <si>
    <t xml:space="preserve">O(n·k)</t>
  </si>
  <si>
    <t xml:space="preserve">Set Existence / Sequence Building</t>
  </si>
  <si>
    <t xml:space="preserve">Membership checks, consecutive runs, cycle detection on values</t>
  </si>
  <si>
    <t xml:space="preserve">HashSet; only start counting from sequence starts</t>
  </si>
  <si>
    <t xml:space="preserve">▌ ARRAY</t>
  </si>
  <si>
    <t xml:space="preserve">Two Pointers</t>
  </si>
  <si>
    <t xml:space="preserve">Opposite Ends (Converging)</t>
  </si>
  <si>
    <t xml:space="preserve">Sorted array / palindrome / pair with target / maximize area</t>
  </si>
  <si>
    <t xml:space="preserve">l=0, r=n−1; move the pointer that can improve the answer</t>
  </si>
  <si>
    <t xml:space="preserve">Same Direction (Read / Write)</t>
  </si>
  <si>
    <t xml:space="preserve">In-place remove/compact/merge; 'without extra space'</t>
  </si>
  <si>
    <t xml:space="preserve">Slow write pointer, fast read pointer</t>
  </si>
  <si>
    <t xml:space="preserve">O(n), O(1) space</t>
  </si>
  <si>
    <t xml:space="preserve">k-Sum (3Sum / 4Sum)</t>
  </si>
  <si>
    <t xml:space="preserve">Find triplets/quads with target sum, avoid duplicates</t>
  </si>
  <si>
    <t xml:space="preserve">Sort; fix i, run two-pointer on rest; skip equal neighbours</t>
  </si>
  <si>
    <t xml:space="preserve">O(n^(k−1))</t>
  </si>
  <si>
    <t xml:space="preserve">Dutch National Flag / Partitioning</t>
  </si>
  <si>
    <t xml:space="preserve">Sort 0/1/2 or partition around a pivot in one pass</t>
  </si>
  <si>
    <t xml:space="preserve">low / mid / high pointers; swap into regions</t>
  </si>
  <si>
    <t xml:space="preserve">O(n), O(1)</t>
  </si>
  <si>
    <t xml:space="preserve">In-place Manipulation</t>
  </si>
  <si>
    <t xml:space="preserve">Rotation / Reversal Trick</t>
  </si>
  <si>
    <t xml:space="preserve">Rotate by k, reverse segments, O(1) space</t>
  </si>
  <si>
    <t xml:space="preserve">Reverse whole, then reverse parts</t>
  </si>
  <si>
    <t xml:space="preserve">Majority Vote (Boyer–Moore)</t>
  </si>
  <si>
    <t xml:space="preserve">Element appearing &gt; n/2 or &gt; n/3 times, O(1) space</t>
  </si>
  <si>
    <t xml:space="preserve">Candidate + counter; verify in second pass</t>
  </si>
  <si>
    <t xml:space="preserve">Cyclic Sort / Index Marking</t>
  </si>
  <si>
    <t xml:space="preserve">Numbers in range [1..n] or [0..n]; find missing/duplicate</t>
  </si>
  <si>
    <t xml:space="preserve">Place x at index x−1, or negate arr[x] to mark seen</t>
  </si>
  <si>
    <t xml:space="preserve">Sliding Window</t>
  </si>
  <si>
    <t xml:space="preserve">Fixed Size</t>
  </si>
  <si>
    <t xml:space="preserve">'Subarray/substring of size k', window length is given</t>
  </si>
  <si>
    <t xml:space="preserve">Add arr[r], remove arr[r−k]; update answer each step</t>
  </si>
  <si>
    <t xml:space="preserve">Variable Size (Longest / Shortest Valid)</t>
  </si>
  <si>
    <t xml:space="preserve">'Longest/shortest subarray such that…' with a monotone validity condition</t>
  </si>
  <si>
    <t xml:space="preserve">Expand r; while invalid shrink l; record best</t>
  </si>
  <si>
    <t xml:space="preserve">Expand–Shrink Counting (At-Most-K Trick)</t>
  </si>
  <si>
    <t xml:space="preserve">'Count subarrays' with exactly K / at most K / product &lt; K</t>
  </si>
  <si>
    <t xml:space="preserve">count(exactly K) = atMost(K) − atMost(K−1); add (r−l+1) per step</t>
  </si>
  <si>
    <t xml:space="preserve">Monotonic Window (Deque)</t>
  </si>
  <si>
    <t xml:space="preserve">Max/min of every window, or window with |max−min| ≤ limit</t>
  </si>
  <si>
    <t xml:space="preserve">Deque of indices kept increasing/decreasing; pop expired front</t>
  </si>
  <si>
    <t xml:space="preserve">Prefix Sum</t>
  </si>
  <si>
    <t xml:space="preserve">1D Prefix Sum</t>
  </si>
  <si>
    <t xml:space="preserve">Many range-sum queries, pivot/balance index</t>
  </si>
  <si>
    <t xml:space="preserve">pre[i+1] = pre[i] + a[i]; sum(l..r) = pre[r+1] − pre[l]</t>
  </si>
  <si>
    <t xml:space="preserve">O(n) build, O(1) query</t>
  </si>
  <si>
    <t xml:space="preserve">Prefix Sum + HashMap</t>
  </si>
  <si>
    <t xml:space="preserve">Count/longest subarray with sum = K, divisible by K, equal 0s &amp; 1s (negatives allowed)</t>
  </si>
  <si>
    <t xml:space="preserve">Map prefix → count/first index; look up pre − K</t>
  </si>
  <si>
    <t xml:space="preserve">2D Prefix Sum</t>
  </si>
  <si>
    <t xml:space="preserve">Rectangle sum queries on a matrix</t>
  </si>
  <si>
    <t xml:space="preserve">P[i][j] = a + P[i−1][j] + P[i][j−1] − P[i−1][j−1]</t>
  </si>
  <si>
    <t xml:space="preserve">O(mn) build, O(1) query</t>
  </si>
  <si>
    <t xml:space="preserve">Difference Array</t>
  </si>
  <si>
    <t xml:space="preserve">Many range-update operations, then read final array</t>
  </si>
  <si>
    <t xml:space="preserve">diff[l] += v; diff[r+1] −= v; prefix-sum at the end</t>
  </si>
  <si>
    <t xml:space="preserve">O(n + q)</t>
  </si>
  <si>
    <t xml:space="preserve">Prefix–Suffix Products / Splits</t>
  </si>
  <si>
    <t xml:space="preserve">Answer for i depends on everything left and right of i</t>
  </si>
  <si>
    <t xml:space="preserve">Build left pass and right pass arrays (or one running var)</t>
  </si>
  <si>
    <t xml:space="preserve">Kadane's / Subarray</t>
  </si>
  <si>
    <t xml:space="preserve">Running Min / Max (Kadane Core)</t>
  </si>
  <si>
    <t xml:space="preserve">Max profit / max contiguous sum in one pass</t>
  </si>
  <si>
    <t xml:space="preserve">cur = max(x, cur + x); best = max(best, cur)</t>
  </si>
  <si>
    <t xml:space="preserve">Kadane Variants (Product / Circular / Deletion)</t>
  </si>
  <si>
    <t xml:space="preserve">Negatives flip sign, wrap-around, one skip allowed</t>
  </si>
  <si>
    <t xml:space="preserve">Track both max &amp; min; total − minSubarray for circular</t>
  </si>
  <si>
    <t xml:space="preserve">▌ STRING</t>
  </si>
  <si>
    <t xml:space="preserve">Palindrome</t>
  </si>
  <si>
    <t xml:space="preserve">Two-Pointer Check</t>
  </si>
  <si>
    <t xml:space="preserve">Is it (almost) a palindrome?</t>
  </si>
  <si>
    <t xml:space="preserve">Compare ends; on mismatch try skipping one side</t>
  </si>
  <si>
    <t xml:space="preserve">Expand Around Center</t>
  </si>
  <si>
    <t xml:space="preserve">Longest / count of palindromic substrings</t>
  </si>
  <si>
    <t xml:space="preserve">For each of 2n−1 centres expand while s[l]==s[r]</t>
  </si>
  <si>
    <t xml:space="preserve">O(n²)</t>
  </si>
  <si>
    <t xml:space="preserve">Palindrome Construction</t>
  </si>
  <si>
    <t xml:space="preserve">Build longest palindrome / make string palindrome by adding chars</t>
  </si>
  <si>
    <t xml:space="preserve">Character parity counts, or KMP on s + '#' + rev(s)</t>
  </si>
  <si>
    <t xml:space="preserve">Anagram / Frequency</t>
  </si>
  <si>
    <t xml:space="preserve">Character Count Comparison</t>
  </si>
  <si>
    <t xml:space="preserve">Anagram, ransom note, 'same characters', first unique</t>
  </si>
  <si>
    <t xml:space="preserve">int[26] counts; compare or decrement</t>
  </si>
  <si>
    <t xml:space="preserve">Bijection / Mapping</t>
  </si>
  <si>
    <t xml:space="preserve">Isomorphic strings, word pattern, one-to-one mapping</t>
  </si>
  <si>
    <t xml:space="preserve">Two maps (a→b and b→a) or compare first-seen indices</t>
  </si>
  <si>
    <t xml:space="preserve">Pattern Matching</t>
  </si>
  <si>
    <t xml:space="preserve">KMP (Prefix Function)</t>
  </si>
  <si>
    <t xml:space="preserve">Find pattern in text in linear time; longest prefix = suffix</t>
  </si>
  <si>
    <t xml:space="preserve">Build LPS array; never move text pointer back</t>
  </si>
  <si>
    <t xml:space="preserve">O(n + m)</t>
  </si>
  <si>
    <t xml:space="preserve">Rabin–Karp / Rolling Hash</t>
  </si>
  <si>
    <t xml:space="preserve">Repeated / duplicate substrings of length L</t>
  </si>
  <si>
    <t xml:space="preserve">Polynomial rolling hash; binary search on L if needed</t>
  </si>
  <si>
    <t xml:space="preserve">O(n) avg</t>
  </si>
  <si>
    <t xml:space="preserve">Z-Algorithm</t>
  </si>
  <si>
    <t xml:space="preserve">Match of every suffix with prefix</t>
  </si>
  <si>
    <t xml:space="preserve">Z-array with [l, r] box</t>
  </si>
  <si>
    <t xml:space="preserve">Parsing &amp; Simulation</t>
  </si>
  <si>
    <t xml:space="preserve">String Parsing / Conversion</t>
  </si>
  <si>
    <t xml:space="preserve">Convert formats, atoi, roman numerals, reverse words</t>
  </si>
  <si>
    <t xml:space="preserve">Careful index walking, edge cases (sign, overflow, spaces)</t>
  </si>
  <si>
    <t xml:space="preserve">String Building / Encoding</t>
  </si>
  <si>
    <t xml:space="preserve">Compress, encode/decode, big-number arithmetic</t>
  </si>
  <si>
    <t xml:space="preserve">StringBuilder; length-prefix encoding; digit-by-digit math</t>
  </si>
  <si>
    <t xml:space="preserve">O(n·m)</t>
  </si>
  <si>
    <t xml:space="preserve">▌ MATRIX (2D ARRAY)</t>
  </si>
  <si>
    <t xml:space="preserve">Matrix Manipulation</t>
  </si>
  <si>
    <t xml:space="preserve">Traversal Order (Spiral / Diagonal)</t>
  </si>
  <si>
    <t xml:space="preserve">Visit cells in a specific order</t>
  </si>
  <si>
    <t xml:space="preserve">Maintain top/bottom/left/right boundaries</t>
  </si>
  <si>
    <t xml:space="preserve">O(mn)</t>
  </si>
  <si>
    <t xml:space="preserve">In-place Transformation</t>
  </si>
  <si>
    <t xml:space="preserve">Rotate / zero-out / next state without extra matrix</t>
  </si>
  <si>
    <t xml:space="preserve">Transpose + reverse; use first row/col or bit states as markers</t>
  </si>
  <si>
    <t xml:space="preserve">O(mn), O(1)</t>
  </si>
  <si>
    <t xml:space="preserve">▌ STACK</t>
  </si>
  <si>
    <t xml:space="preserve">Classic Stack</t>
  </si>
  <si>
    <t xml:space="preserve">Matching / Balanced Brackets</t>
  </si>
  <si>
    <t xml:space="preserve">Brackets, adjacent duplicates, 'remove to make valid'</t>
  </si>
  <si>
    <t xml:space="preserve">Push opens; pop on match; track indices if needed</t>
  </si>
  <si>
    <t xml:space="preserve">Stack Simulation</t>
  </si>
  <si>
    <t xml:space="preserve">Collisions, process-until-stable, push/pop sequence validation</t>
  </si>
  <si>
    <t xml:space="preserve">Simulate with stack; resolve while top conflicts</t>
  </si>
  <si>
    <t xml:space="preserve">Expression Evaluation / Nested Decoding</t>
  </si>
  <si>
    <t xml:space="preserve">Calculator, RPN, nested k[str], paths with '..'</t>
  </si>
  <si>
    <t xml:space="preserve">Operand + operator stacks or recursion on '('</t>
  </si>
  <si>
    <t xml:space="preserve">Monotonic Stack</t>
  </si>
  <si>
    <t xml:space="preserve">Next Greater / Smaller Element</t>
  </si>
  <si>
    <t xml:space="preserve">'Next warmer day', 'next greater', span, fleets</t>
  </si>
  <si>
    <t xml:space="preserve">Keep stack monotone; when popped, answer for that index is found</t>
  </si>
  <si>
    <t xml:space="preserve">Histogram / Max Rectangle</t>
  </si>
  <si>
    <t xml:space="preserve">Largest rectangle bounded by heights</t>
  </si>
  <si>
    <t xml:space="preserve">Previous &amp; next smaller via stack; area = h × width</t>
  </si>
  <si>
    <t xml:space="preserve">Contribution Technique</t>
  </si>
  <si>
    <t xml:space="preserve">Sum of min/max over all subarrays</t>
  </si>
  <si>
    <t xml:space="preserve">Each element contributes × (left span) × (right span)</t>
  </si>
  <si>
    <t xml:space="preserve">Greedy Removal (Lexicographic)</t>
  </si>
  <si>
    <t xml:space="preserve">Smallest number/string after removing digits/duplicates</t>
  </si>
  <si>
    <t xml:space="preserve">Pop larger previous chars while removals remain</t>
  </si>
  <si>
    <t xml:space="preserve">Stack Design</t>
  </si>
  <si>
    <t xml:space="preserve">Augmented Stacks</t>
  </si>
  <si>
    <t xml:space="preserve">Stack with O(1) min / frequency / built from queues</t>
  </si>
  <si>
    <t xml:space="preserve">Store (value, extra-info) pairs or two containers</t>
  </si>
  <si>
    <t xml:space="preserve">O(1) per op</t>
  </si>
  <si>
    <t xml:space="preserve">▌ QUEUE / DEQUE</t>
  </si>
  <si>
    <t xml:space="preserve">Queue Patterns</t>
  </si>
  <si>
    <t xml:space="preserve">Queue Simulation</t>
  </si>
  <si>
    <t xml:space="preserve">Rounds, turns, recent-window counting, card reveal order</t>
  </si>
  <si>
    <t xml:space="preserve">FIFO queue; re-enqueue survivors</t>
  </si>
  <si>
    <t xml:space="preserve">Circular Queue / Deque Design</t>
  </si>
  <si>
    <t xml:space="preserve">Fixed-capacity ring buffer</t>
  </si>
  <si>
    <t xml:space="preserve">Array + head index + size, modulo arithmetic</t>
  </si>
  <si>
    <t xml:space="preserve">▌ BINARY SEARCH</t>
  </si>
  <si>
    <t xml:space="preserve">Binary Search on Index</t>
  </si>
  <si>
    <t xml:space="preserve">Classic / Lower–Upper Bound</t>
  </si>
  <si>
    <t xml:space="preserve">Sorted input; find target, first/last position, insert point</t>
  </si>
  <si>
    <t xml:space="preserve">lo ≤ hi or lo &lt; hi with consistent mid update; boundary search</t>
  </si>
  <si>
    <t xml:space="preserve">O(log n)</t>
  </si>
  <si>
    <t xml:space="preserve">Rotated Sorted Array</t>
  </si>
  <si>
    <t xml:space="preserve">Sorted array rotated at unknown pivot</t>
  </si>
  <si>
    <t xml:space="preserve">Decide which half is sorted, then whether target lies in it</t>
  </si>
  <si>
    <t xml:space="preserve">Peak / Bitonic</t>
  </si>
  <si>
    <t xml:space="preserve">Mountain array, local peak, unsorted but has slope</t>
  </si>
  <si>
    <t xml:space="preserve">Compare mid with mid+1; move towards the higher side</t>
  </si>
  <si>
    <t xml:space="preserve">2D Matrix Search</t>
  </si>
  <si>
    <t xml:space="preserve">Row/column sorted matrix</t>
  </si>
  <si>
    <t xml:space="preserve">Treat as 1D array, or staircase from top-right</t>
  </si>
  <si>
    <t xml:space="preserve">O(log mn) / O(m+n)</t>
  </si>
  <si>
    <t xml:space="preserve">Binary Search with Data Structures</t>
  </si>
  <si>
    <t xml:space="preserve">Timestamp lookups, partition of two sorted arrays</t>
  </si>
  <si>
    <t xml:space="preserve">Search on stored sorted lists / on partition index</t>
  </si>
  <si>
    <t xml:space="preserve">Binary Search on Answer</t>
  </si>
  <si>
    <t xml:space="preserve">Minimize the Maximum / Maximize the Minimum</t>
  </si>
  <si>
    <t xml:space="preserve">'Minimum capacity/speed/days such that…' — answer space is monotone</t>
  </si>
  <si>
    <t xml:space="preserve">lo..hi over answers; feasible(mid) greedy check</t>
  </si>
  <si>
    <t xml:space="preserve">O(n log range)</t>
  </si>
  <si>
    <t xml:space="preserve">▌ LINKED LIST</t>
  </si>
  <si>
    <t xml:space="preserve">Fast &amp; Slow Pointers</t>
  </si>
  <si>
    <t xml:space="preserve">Cycle Detection (Floyd)</t>
  </si>
  <si>
    <t xml:space="preserve">Does a cycle exist / where does it start</t>
  </si>
  <si>
    <t xml:space="preserve">slow += 1, fast += 2; reset one to head to find entry</t>
  </si>
  <si>
    <t xml:space="preserve">Middle / Split</t>
  </si>
  <si>
    <t xml:space="preserve">Middle node, palindrome list, delete middle</t>
  </si>
  <si>
    <t xml:space="preserve">When fast reaches end, slow is at middle</t>
  </si>
  <si>
    <t xml:space="preserve">In-place Reversal</t>
  </si>
  <si>
    <t xml:space="preserve">Full / Partial / K-Group Reversal</t>
  </si>
  <si>
    <t xml:space="preserve">Reverse whole list, a sub-range, pairs, or every k nodes</t>
  </si>
  <si>
    <t xml:space="preserve">prev / curr / next pointer dance; reconnect boundaries</t>
  </si>
  <si>
    <t xml:space="preserve">Pointer Manipulation</t>
  </si>
  <si>
    <t xml:space="preserve">Dummy Node / Removal</t>
  </si>
  <si>
    <t xml:space="preserve">Delete nodes, head may change</t>
  </si>
  <si>
    <t xml:space="preserve">Dummy → head; two pointers n apart for 'nth from end'</t>
  </si>
  <si>
    <t xml:space="preserve">Merge &amp; Rearrange</t>
  </si>
  <si>
    <t xml:space="preserve">Merge sorted lists, reorder, odd/even, partition, rotate</t>
  </si>
  <si>
    <t xml:space="preserve">Split → reverse → weave; or build two lists and join</t>
  </si>
  <si>
    <t xml:space="preserve">Intersection &amp; Arithmetic</t>
  </si>
  <si>
    <t xml:space="preserve">Shared tail node, add numbers stored as lists</t>
  </si>
  <si>
    <t xml:space="preserve">Switch heads trick; carry propagation (stack for forward order)</t>
  </si>
  <si>
    <t xml:space="preserve">Complex Pointers (Random / Multilevel)</t>
  </si>
  <si>
    <t xml:space="preserve">Deep copy with extra pointers, flatten child lists</t>
  </si>
  <si>
    <t xml:space="preserve">HashMap old→new, or interleave copies in-place</t>
  </si>
  <si>
    <t xml:space="preserve">▌ INTERVALS</t>
  </si>
  <si>
    <t xml:space="preserve">Interval Patterns</t>
  </si>
  <si>
    <t xml:space="preserve">Merge / Insert</t>
  </si>
  <si>
    <t xml:space="preserve">Overlapping ranges to combine</t>
  </si>
  <si>
    <t xml:space="preserve">Sort by start; merge if start ≤ last end</t>
  </si>
  <si>
    <t xml:space="preserve">O(n log n)</t>
  </si>
  <si>
    <t xml:space="preserve">Non-overlap Scheduling (Greedy by End)</t>
  </si>
  <si>
    <t xml:space="preserve">Max non-overlapping, min removals, min arrows</t>
  </si>
  <si>
    <t xml:space="preserve">Sort by end; take interval if start ≥ last end</t>
  </si>
  <si>
    <t xml:space="preserve">Sweep Line / Concurrent Count</t>
  </si>
  <si>
    <t xml:space="preserve">Min rooms, max overlap at any time, skyline</t>
  </si>
  <si>
    <t xml:space="preserve">Events (+1 start, −1 end) sorted; or min-heap of end times</t>
  </si>
  <si>
    <t xml:space="preserve">Intersection / Booking</t>
  </si>
  <si>
    <t xml:space="preserve">Intersect two interval lists, check booking conflicts</t>
  </si>
  <si>
    <t xml:space="preserve">Two pointers on sorted lists; advance smaller end</t>
  </si>
  <si>
    <t xml:space="preserve">▌ TREES</t>
  </si>
  <si>
    <t xml:space="preserve">DFS Traversal</t>
  </si>
  <si>
    <t xml:space="preserve">Pre / In / Post-order (Recursive &amp; Iterative)</t>
  </si>
  <si>
    <t xml:space="preserve">Visit every node; iterative version asked often</t>
  </si>
  <si>
    <t xml:space="preserve">Recursion, or explicit stack (Morris for O(1) space)</t>
  </si>
  <si>
    <t xml:space="preserve">Structural Comparison</t>
  </si>
  <si>
    <t xml:space="preserve">Same / mirror / subtree / invert / merge</t>
  </si>
  <si>
    <t xml:space="preserve">Recurse on pairs of nodes</t>
  </si>
  <si>
    <t xml:space="preserve">BFS / Level Order</t>
  </si>
  <si>
    <t xml:space="preserve">Level-by-Level Processing</t>
  </si>
  <si>
    <t xml:space="preserve">Anything 'per level': averages, zigzag, right view, width</t>
  </si>
  <si>
    <t xml:space="preserve">Queue; process size-of-level nodes per iteration</t>
  </si>
  <si>
    <t xml:space="preserve">Vertical Order / Distance from Node</t>
  </si>
  <si>
    <t xml:space="preserve">Columns, nodes at distance K, infection spread</t>
  </si>
  <si>
    <t xml:space="preserve">Assign (row, col) coords; or convert to graph with parent map + BFS</t>
  </si>
  <si>
    <t xml:space="preserve">Recursive Return Values</t>
  </si>
  <si>
    <t xml:space="preserve">Bottom-up (Height / Diameter / Balance)</t>
  </si>
  <si>
    <t xml:space="preserve">Answer at node needs children's answers</t>
  </si>
  <si>
    <t xml:space="preserve">Return height up; update global answer at each node</t>
  </si>
  <si>
    <t xml:space="preserve">Top-down (Root-to-Leaf Paths)</t>
  </si>
  <si>
    <t xml:space="preserve">Path sums, carrying state from root downwards</t>
  </si>
  <si>
    <t xml:space="preserve">Pass running value/max as parameter; backtrack path list</t>
  </si>
  <si>
    <t xml:space="preserve">Lowest Common Ancestor</t>
  </si>
  <si>
    <t xml:space="preserve">Shared ancestor of two nodes</t>
  </si>
  <si>
    <t xml:space="preserve">Return node if found; if both sides non-null → current is LCA</t>
  </si>
  <si>
    <t xml:space="preserve">Binary Search Tree</t>
  </si>
  <si>
    <t xml:space="preserve">BST Operations</t>
  </si>
  <si>
    <t xml:space="preserve">Search / insert / delete using ordering property</t>
  </si>
  <si>
    <t xml:space="preserve">Go left if smaller, right if larger; handle 0/1/2 children on delete</t>
  </si>
  <si>
    <t xml:space="preserve">O(h)</t>
  </si>
  <si>
    <t xml:space="preserve">BST Validation &amp; In-order Property</t>
  </si>
  <si>
    <t xml:space="preserve">Validate, kth smallest, iterator, recover swapped nodes</t>
  </si>
  <si>
    <t xml:space="preserve">In-order of BST is sorted; or pass (min, max) bounds</t>
  </si>
  <si>
    <t xml:space="preserve">O(n) / O(h)</t>
  </si>
  <si>
    <t xml:space="preserve">Construction &amp; Serialization</t>
  </si>
  <si>
    <t xml:space="preserve">Build Tree from Traversals</t>
  </si>
  <si>
    <t xml:space="preserve">Given two traversals (or one for BST), rebuild tree</t>
  </si>
  <si>
    <t xml:space="preserve">Root from pre/post; split by inorder index (hashmap)</t>
  </si>
  <si>
    <t xml:space="preserve">Serialize / Flatten</t>
  </si>
  <si>
    <t xml:space="preserve">Convert tree ↔ string, flatten to list</t>
  </si>
  <si>
    <t xml:space="preserve">Preorder with null markers; reverse-postorder for flatten</t>
  </si>
  <si>
    <t xml:space="preserve">▌ HEAP / PRIORITY QUEUE</t>
  </si>
  <si>
    <t xml:space="preserve">Heap Patterns</t>
  </si>
  <si>
    <t xml:space="preserve">Top-K Elements</t>
  </si>
  <si>
    <t xml:space="preserve">'k largest / smallest / most frequent / closest'</t>
  </si>
  <si>
    <t xml:space="preserve">Min-heap of size k (or quickselect / bucket sort)</t>
  </si>
  <si>
    <t xml:space="preserve">O(n log k)</t>
  </si>
  <si>
    <t xml:space="preserve">K-way Merge</t>
  </si>
  <si>
    <t xml:space="preserve">Merge k sorted lists/arrays, smallest pairs across lists</t>
  </si>
  <si>
    <t xml:space="preserve">Heap holds one head from each list; pop &amp; push next</t>
  </si>
  <si>
    <t xml:space="preserve">O(N log k)</t>
  </si>
  <si>
    <t xml:space="preserve">Two Heaps</t>
  </si>
  <si>
    <t xml:space="preserve">Running median, balance lower &amp; upper halves</t>
  </si>
  <si>
    <t xml:space="preserve">Max-heap for low half, min-heap for high half; rebalance sizes</t>
  </si>
  <si>
    <t xml:space="preserve">O(log n) per op</t>
  </si>
  <si>
    <t xml:space="preserve">Greedy Scheduling with Heap</t>
  </si>
  <si>
    <t xml:space="preserve">Pick best available option repeatedly (tasks, CPU, refuel)</t>
  </si>
  <si>
    <t xml:space="preserve">Sort by time; heap of available candidates</t>
  </si>
  <si>
    <t xml:space="preserve">▌ RECURSION &amp; BACKTRACKING</t>
  </si>
  <si>
    <t xml:space="preserve">Recursion Basics</t>
  </si>
  <si>
    <t xml:space="preserve">Divide &amp; Recurse</t>
  </si>
  <si>
    <t xml:space="preserve">Problem reduces to a smaller copy of itself</t>
  </si>
  <si>
    <t xml:space="preserve">Base case + recursive relation; fast power halves n</t>
  </si>
  <si>
    <t xml:space="preserve">Varies</t>
  </si>
  <si>
    <t xml:space="preserve">Backtracking</t>
  </si>
  <si>
    <t xml:space="preserve">Subsets (Include / Exclude)</t>
  </si>
  <si>
    <t xml:space="preserve">'All subsets', power set, case permutations</t>
  </si>
  <si>
    <t xml:space="preserve">At each index choose take / skip; sort + skip dups</t>
  </si>
  <si>
    <t xml:space="preserve">O(n·2ⁿ)</t>
  </si>
  <si>
    <t xml:space="preserve">Permutations</t>
  </si>
  <si>
    <t xml:space="preserve">All orderings</t>
  </si>
  <si>
    <t xml:space="preserve">used[] array or swap-in-place; skip duplicate choices at same depth</t>
  </si>
  <si>
    <t xml:space="preserve">O(n·n!)</t>
  </si>
  <si>
    <t xml:space="preserve">Combinations / Combination Sum</t>
  </si>
  <si>
    <t xml:space="preserve">Choose k items, or items summing to target (reuse or not)</t>
  </si>
  <si>
    <t xml:space="preserve">start index to avoid repeats; prune when sum &gt; target</t>
  </si>
  <si>
    <t xml:space="preserve">O(2ⁿ)</t>
  </si>
  <si>
    <t xml:space="preserve">Partitioning</t>
  </si>
  <si>
    <t xml:space="preserve">Split string/array into valid pieces (palindromes, IPs, equal sums)</t>
  </si>
  <si>
    <t xml:space="preserve">Try every cut point; recurse on remainder</t>
  </si>
  <si>
    <t xml:space="preserve">Exponential</t>
  </si>
  <si>
    <t xml:space="preserve">Generate Valid Structures</t>
  </si>
  <si>
    <t xml:space="preserve">Generate all well-formed strings/sequences</t>
  </si>
  <si>
    <t xml:space="preserve">Track counts (open/close) as constraints while building</t>
  </si>
  <si>
    <t xml:space="preserve">Catalan / 2ⁿ</t>
  </si>
  <si>
    <t xml:space="preserve">Constraint Satisfaction (Board / Grid)</t>
  </si>
  <si>
    <t xml:space="preserve">N-Queens, Sudoku, word in grid</t>
  </si>
  <si>
    <t xml:space="preserve">Place → recurse → undo; mark visited cells; use sets for columns/diagonals</t>
  </si>
  <si>
    <t xml:space="preserve">▌ TRIE</t>
  </si>
  <si>
    <t xml:space="preserve">Trie Patterns</t>
  </si>
  <si>
    <t xml:space="preserve">Basic Trie (Insert / Search / Prefix)</t>
  </si>
  <si>
    <t xml:space="preserve">Prefix queries, autocomplete, dictionary roots</t>
  </si>
  <si>
    <t xml:space="preserve">Node{children[26], isEnd}; walk character by character</t>
  </si>
  <si>
    <t xml:space="preserve">O(L) per op</t>
  </si>
  <si>
    <t xml:space="preserve">Wildcard / Fuzzy Search</t>
  </si>
  <si>
    <t xml:space="preserve">'.' matches any char, one-edit matches</t>
  </si>
  <si>
    <t xml:space="preserve">DFS over children on wildcard</t>
  </si>
  <si>
    <t xml:space="preserve">O(26^k · L)</t>
  </si>
  <si>
    <t xml:space="preserve">Trie + Backtracking</t>
  </si>
  <si>
    <t xml:space="preserve">Find many dictionary words in a grid / concatenations</t>
  </si>
  <si>
    <t xml:space="preserve">Build trie of words; DFS grid while trie path exists; prune</t>
  </si>
  <si>
    <t xml:space="preserve">O(m·n·4^L)</t>
  </si>
  <si>
    <t xml:space="preserve">Bitwise (XOR) Trie</t>
  </si>
  <si>
    <t xml:space="preserve">Maximum XOR of pairs / with queries</t>
  </si>
  <si>
    <t xml:space="preserve">Insert numbers bit by bit (MSB first); greedily take opposite bit</t>
  </si>
  <si>
    <t xml:space="preserve">O(n · 32)</t>
  </si>
  <si>
    <t xml:space="preserve">▌ GRAPHS</t>
  </si>
  <si>
    <t xml:space="preserve">Grid Graphs (DFS / BFS)</t>
  </si>
  <si>
    <t xml:space="preserve">Flood Fill / Connected Islands</t>
  </si>
  <si>
    <t xml:space="preserve">Count/measure regions of connected cells</t>
  </si>
  <si>
    <t xml:space="preserve">DFS/BFS from each unvisited land cell; mark visited</t>
  </si>
  <si>
    <t xml:space="preserve">Boundary DFS (Reverse Thinking)</t>
  </si>
  <si>
    <t xml:space="preserve">Regions touching the border / flowing to oceans</t>
  </si>
  <si>
    <t xml:space="preserve">Start DFS from boundary cells instead of every cell</t>
  </si>
  <si>
    <t xml:space="preserve">Multi-source BFS</t>
  </si>
  <si>
    <t xml:space="preserve">Distance from nearest source; spread from many origins at once</t>
  </si>
  <si>
    <t xml:space="preserve">Push all sources into queue at time 0</t>
  </si>
  <si>
    <t xml:space="preserve">Graph Traversal</t>
  </si>
  <si>
    <t xml:space="preserve">Adjacency List DFS / BFS</t>
  </si>
  <si>
    <t xml:space="preserve">Connected components, reachability, clone graph</t>
  </si>
  <si>
    <t xml:space="preserve">Build adj list; visited set; iterate components</t>
  </si>
  <si>
    <t xml:space="preserve">O(V + E)</t>
  </si>
  <si>
    <t xml:space="preserve">BFS Shortest Path (Unweighted)</t>
  </si>
  <si>
    <t xml:space="preserve">Minimum steps/moves/transformations</t>
  </si>
  <si>
    <t xml:space="preserve">BFS level = distance; state = node (+ extra info)</t>
  </si>
  <si>
    <t xml:space="preserve">Cycle Detection &amp; Bipartite</t>
  </si>
  <si>
    <t xml:space="preserve">Is graph a tree? has cycle? two-colourable?</t>
  </si>
  <si>
    <t xml:space="preserve">Undirected: parent check / DSU; directed: 3-colour DFS; BFS colouring</t>
  </si>
  <si>
    <t xml:space="preserve">Topological Sort</t>
  </si>
  <si>
    <t xml:space="preserve">Kahn's BFS / DFS Ordering</t>
  </si>
  <si>
    <t xml:space="preserve">Prerequisites, dependency order, build order</t>
  </si>
  <si>
    <t xml:space="preserve">Indegree queue (Kahn) — leftover nodes ⇒ cycle</t>
  </si>
  <si>
    <t xml:space="preserve">Union-Find (DSU)</t>
  </si>
  <si>
    <t xml:space="preserve">Disjoint Set Union</t>
  </si>
  <si>
    <t xml:space="preserve">Dynamic connectivity, merge groups, redundant edge</t>
  </si>
  <si>
    <t xml:space="preserve">find with path compression + union by rank/size</t>
  </si>
  <si>
    <t xml:space="preserve">~O(α(n)) per op</t>
  </si>
  <si>
    <t xml:space="preserve">Shortest Path (Weighted)</t>
  </si>
  <si>
    <t xml:space="preserve">Dijkstra</t>
  </si>
  <si>
    <t xml:space="preserve">Non-negative weights, min cost/time/effort path</t>
  </si>
  <si>
    <t xml:space="preserve">Min-heap of (dist, node); skip stale entries</t>
  </si>
  <si>
    <t xml:space="preserve">O(E log V)</t>
  </si>
  <si>
    <t xml:space="preserve">Bellman–Ford / Limited Stops</t>
  </si>
  <si>
    <t xml:space="preserve">At most K edges, or negative weights</t>
  </si>
  <si>
    <t xml:space="preserve">Relax all edges K+1 times using a copy of distances</t>
  </si>
  <si>
    <t xml:space="preserve">O(K·E)</t>
  </si>
  <si>
    <t xml:space="preserve">0-1 BFS</t>
  </si>
  <si>
    <t xml:space="preserve">Edge weights are only 0 or 1</t>
  </si>
  <si>
    <t xml:space="preserve">Deque: weight-0 to front, weight-1 to back</t>
  </si>
  <si>
    <t xml:space="preserve">Floyd–Warshall (All Pairs)</t>
  </si>
  <si>
    <t xml:space="preserve">Distances between every pair, small n (≤ 100–400)</t>
  </si>
  <si>
    <t xml:space="preserve">dp[i][j] = min(dp[i][j], dp[i][k] + dp[k][j])</t>
  </si>
  <si>
    <t xml:space="preserve">O(V³)</t>
  </si>
  <si>
    <t xml:space="preserve">Advanced Graph</t>
  </si>
  <si>
    <t xml:space="preserve">Minimum Spanning Tree (Prim / Kruskal)</t>
  </si>
  <si>
    <t xml:space="preserve">Connect all nodes at minimum total cost</t>
  </si>
  <si>
    <t xml:space="preserve">Kruskal: sort edges + DSU; Prim: min-heap from a start node</t>
  </si>
  <si>
    <t xml:space="preserve">O(E log E)</t>
  </si>
  <si>
    <t xml:space="preserve">Eulerian Path (Hierholzer)</t>
  </si>
  <si>
    <t xml:space="preserve">Use every edge exactly once (itinerary, de Bruijn)</t>
  </si>
  <si>
    <t xml:space="preserve">Post-order DFS consuming edges, reverse the result</t>
  </si>
  <si>
    <t xml:space="preserve">Bridges / Articulation Points (Tarjan)</t>
  </si>
  <si>
    <t xml:space="preserve">Critical edges whose removal disconnects graph</t>
  </si>
  <si>
    <t xml:space="preserve">DFS discovery time + low-link values</t>
  </si>
  <si>
    <t xml:space="preserve">▌ GREEDY</t>
  </si>
  <si>
    <t xml:space="preserve">Greedy Patterns</t>
  </si>
  <si>
    <t xml:space="preserve">Reachability / Jump</t>
  </si>
  <si>
    <t xml:space="preserve">Can you reach the end? min jumps?</t>
  </si>
  <si>
    <t xml:space="preserve">Track farthest reachable; BFS-like levels for min jumps</t>
  </si>
  <si>
    <t xml:space="preserve">Sort-then-Greedy</t>
  </si>
  <si>
    <t xml:space="preserve">Assign/pair items optimally after ordering</t>
  </si>
  <si>
    <t xml:space="preserve">Sort by the key that makes local choice safe; prove by exchange argument</t>
  </si>
  <si>
    <t xml:space="preserve">Running Balance / Circular</t>
  </si>
  <si>
    <t xml:space="preserve">Gas station, lemonade change, cumulative feasibility</t>
  </si>
  <si>
    <t xml:space="preserve">If running sum &lt; 0, restart from next index</t>
  </si>
  <si>
    <t xml:space="preserve">Two-pass / Range Tracking</t>
  </si>
  <si>
    <t xml:space="preserve">Constraints from both neighbours; wildcard balance</t>
  </si>
  <si>
    <t xml:space="preserve">Left pass + right pass, or track [min, max] possible values</t>
  </si>
  <si>
    <t xml:space="preserve">▌ BIT MANIPULATION</t>
  </si>
  <si>
    <t xml:space="preserve">Bit Tricks</t>
  </si>
  <si>
    <t xml:space="preserve">XOR Properties</t>
  </si>
  <si>
    <t xml:space="preserve">Find the unique / missing element; a^a = 0</t>
  </si>
  <si>
    <t xml:space="preserve">XOR everything; split by lowest set bit for two uniques</t>
  </si>
  <si>
    <t xml:space="preserve">Bit Counting &amp; Shifting</t>
  </si>
  <si>
    <t xml:space="preserve">Count set bits, reverse bits, power of two</t>
  </si>
  <si>
    <t xml:space="preserve">n &amp; (n−1) drops lowest bit; dp[i] = dp[i&gt;&gt;1] + (i&amp;1)</t>
  </si>
  <si>
    <t xml:space="preserve">O(1) / O(n)</t>
  </si>
  <si>
    <t xml:space="preserve">Bitwise Arithmetic</t>
  </si>
  <si>
    <t xml:space="preserve">Add/divide without operators, overflow-safe reversal, range AND</t>
  </si>
  <si>
    <t xml:space="preserve">carry = (a &amp; b) &lt;&lt; 1; sum = a ^ b; shift common prefix</t>
  </si>
  <si>
    <t xml:space="preserve">O(1)</t>
  </si>
  <si>
    <t xml:space="preserve">▌ DYNAMIC PROGRAMMING</t>
  </si>
  <si>
    <t xml:space="preserve">Linear DP</t>
  </si>
  <si>
    <t xml:space="preserve">1D DP (Fibonacci-style)</t>
  </si>
  <si>
    <t xml:space="preserve">Ways to reach i / best value up to i depends on i−1, i−2…</t>
  </si>
  <si>
    <t xml:space="preserve">dp[i] from few previous states; compress to O(1) vars</t>
  </si>
  <si>
    <t xml:space="preserve">String Segmentation / Decoding</t>
  </si>
  <si>
    <t xml:space="preserve">Can string be split/decoded? count ways</t>
  </si>
  <si>
    <t xml:space="preserve">dp[i] = OR/SUM over valid last pieces ending at i</t>
  </si>
  <si>
    <t xml:space="preserve">Grid / 2D DP</t>
  </si>
  <si>
    <t xml:space="preserve">Grid Paths</t>
  </si>
  <si>
    <t xml:space="preserve">Count paths / min path cost moving right/down</t>
  </si>
  <si>
    <t xml:space="preserve">dp[i][j] from top &amp; left; roll to 1D array</t>
  </si>
  <si>
    <t xml:space="preserve">Multi-agent Grid DP</t>
  </si>
  <si>
    <t xml:space="preserve">Two walkers collecting simultaneously</t>
  </si>
  <si>
    <t xml:space="preserve">State (r1, c1, c2) moving together; avoid double count</t>
  </si>
  <si>
    <t xml:space="preserve">O(n³)</t>
  </si>
  <si>
    <t xml:space="preserve">DFS + Memoization on Grid</t>
  </si>
  <si>
    <t xml:space="preserve">Longest path / probability on grid with moves</t>
  </si>
  <si>
    <t xml:space="preserve">memo[r][c] (+ steps); recursion with cache</t>
  </si>
  <si>
    <t xml:space="preserve">O(mn·k)</t>
  </si>
  <si>
    <t xml:space="preserve">Knapsack</t>
  </si>
  <si>
    <t xml:space="preserve">0/1 Knapsack (Subset Sum)</t>
  </si>
  <si>
    <t xml:space="preserve">Pick each item at most once to hit a sum / capacity</t>
  </si>
  <si>
    <t xml:space="preserve">dp[s] |= dp[s − x], iterate s backwards</t>
  </si>
  <si>
    <t xml:space="preserve">O(n·S)</t>
  </si>
  <si>
    <t xml:space="preserve">Unbounded Knapsack</t>
  </si>
  <si>
    <t xml:space="preserve">Unlimited use of each item (coins, squares, tickets)</t>
  </si>
  <si>
    <t xml:space="preserve">dp[s] = min/sum over items, iterate s forwards</t>
  </si>
  <si>
    <t xml:space="preserve">Subsequence DP</t>
  </si>
  <si>
    <t xml:space="preserve">Longest Increasing Subsequence (LIS)</t>
  </si>
  <si>
    <t xml:space="preserve">Longest chain where each next is 'bigger'</t>
  </si>
  <si>
    <t xml:space="preserve">O(n²) dp, or patience sorting + binary search O(n log n)</t>
  </si>
  <si>
    <t xml:space="preserve">Two-String DP (LCS / Edit Distance)</t>
  </si>
  <si>
    <t xml:space="preserve">Compare / transform / match two strings</t>
  </si>
  <si>
    <t xml:space="preserve">dp[i][j] on prefixes; match → diag, else min/max of neighbours</t>
  </si>
  <si>
    <t xml:space="preserve">Pattern / Wildcard Matching DP</t>
  </si>
  <si>
    <t xml:space="preserve">'.' '*' '?' matching against text</t>
  </si>
  <si>
    <t xml:space="preserve">dp[i][j] with special handling for '*' (zero or more)</t>
  </si>
  <si>
    <t xml:space="preserve">Palindromic DP</t>
  </si>
  <si>
    <t xml:space="preserve">Longest palindromic subsequence, min cuts/insertions</t>
  </si>
  <si>
    <t xml:space="preserve">dp[i][j] over substrings by increasing length (or LCS with reverse)</t>
  </si>
  <si>
    <t xml:space="preserve">Interval DP &amp; Games</t>
  </si>
  <si>
    <t xml:space="preserve">Interval DP (Matrix Chain Multiplication)</t>
  </si>
  <si>
    <t xml:space="preserve">Best way to split/merge a range; order of operations matters</t>
  </si>
  <si>
    <t xml:space="preserve">dp[l][r] = best over k in (l, r) of dp[l][k] + dp[k][r] + cost</t>
  </si>
  <si>
    <t xml:space="preserve">Game Theory (Minimax DP)</t>
  </si>
  <si>
    <t xml:space="preserve">Two players play optimally, pick from ends</t>
  </si>
  <si>
    <t xml:space="preserve">dp[l][r] = max score difference for player to move</t>
  </si>
  <si>
    <t xml:space="preserve">State Machine DP</t>
  </si>
  <si>
    <t xml:space="preserve">Stock Buy / Sell States</t>
  </si>
  <si>
    <t xml:space="preserve">Buy/sell with cooldown, fee, or at most k transactions</t>
  </si>
  <si>
    <t xml:space="preserve">States: hold / not-hold (/ cooldown) per day &amp; transaction count</t>
  </si>
  <si>
    <t xml:space="preserve">Advanced DP</t>
  </si>
  <si>
    <t xml:space="preserve">DP on Trees</t>
  </si>
  <si>
    <t xml:space="preserve">Choose/skip nodes with parent-child constraints; count BST shapes</t>
  </si>
  <si>
    <t xml:space="preserve">Return (take, skip) pair from each subtree; Catalan for BST counts</t>
  </si>
  <si>
    <t xml:space="preserve">Bitmask DP</t>
  </si>
  <si>
    <t xml:space="preserve">n ≤ 20; track subset of used items/visited nodes</t>
  </si>
  <si>
    <t xml:space="preserve">dp[mask] (or dp[mask][node]); iterate submasks</t>
  </si>
  <si>
    <t xml:space="preserve">O(2ⁿ·n)</t>
  </si>
  <si>
    <t xml:space="preserve">Digit DP</t>
  </si>
  <si>
    <t xml:space="preserve">Count numbers ≤ N with a digit property</t>
  </si>
  <si>
    <t xml:space="preserve">dp(pos, tight, state) over digits of N</t>
  </si>
  <si>
    <t xml:space="preserve">O(digits·states)</t>
  </si>
  <si>
    <t xml:space="preserve">▌ SORTING</t>
  </si>
  <si>
    <t xml:space="preserve">Sorting Applications</t>
  </si>
  <si>
    <t xml:space="preserve">Merge Sort Based</t>
  </si>
  <si>
    <t xml:space="preserve">Sort list, count inversions / reverse pairs / smaller after self</t>
  </si>
  <si>
    <t xml:space="preserve">Count cross pairs during the merge step</t>
  </si>
  <si>
    <t xml:space="preserve">Quickselect / Wiggle</t>
  </si>
  <si>
    <t xml:space="preserve">kth element without full sort, rearrange around median</t>
  </si>
  <si>
    <t xml:space="preserve">Lomuto/Hoare partition; recurse into one side only</t>
  </si>
  <si>
    <t xml:space="preserve">Custom Comparator</t>
  </si>
  <si>
    <t xml:space="preserve">Order by a non-standard rule (concatenation, logs, frequency)</t>
  </si>
  <si>
    <t xml:space="preserve">Comparator(a, b); e.g. compare a+b vs b+a</t>
  </si>
  <si>
    <t xml:space="preserve">Counting / Bucket Sort</t>
  </si>
  <si>
    <t xml:space="preserve">Values in small range; max gap; h-index</t>
  </si>
  <si>
    <t xml:space="preserve">Count array or buckets by value range</t>
  </si>
  <si>
    <t xml:space="preserve">O(n + k)</t>
  </si>
  <si>
    <t xml:space="preserve">▌ MATH &amp; GEOMETRY</t>
  </si>
  <si>
    <t xml:space="preserve">Math</t>
  </si>
  <si>
    <t xml:space="preserve">Number Theory (GCD / Primes / Digits)</t>
  </si>
  <si>
    <t xml:space="preserve">Divisibility, primes up to n, trailing zeros</t>
  </si>
  <si>
    <t xml:space="preserve">Euclid's GCD; Sieve of Eratosthenes; count factors of 5</t>
  </si>
  <si>
    <t xml:space="preserve">O(n log log n)</t>
  </si>
  <si>
    <t xml:space="preserve">Randomized &amp; Sampling</t>
  </si>
  <si>
    <t xml:space="preserve">Shuffle, weighted pick, reservoir sampling</t>
  </si>
  <si>
    <t xml:space="preserve">Fisher–Yates; prefix sums + binary search; reservoir k/n</t>
  </si>
  <si>
    <t xml:space="preserve">Geometry</t>
  </si>
  <si>
    <t xml:space="preserve">Coordinate Geometry</t>
  </si>
  <si>
    <t xml:space="preserve">Overlapping rectangles, points on a line, squares</t>
  </si>
  <si>
    <t xml:space="preserve">Overlap = max(0, min(ends) − max(starts)); slope as reduced fraction</t>
  </si>
  <si>
    <t xml:space="preserve">▌ DESIGN</t>
  </si>
  <si>
    <t xml:space="preserve">System / Data-Structure Design</t>
  </si>
  <si>
    <t xml:space="preserve">Cache Design (LRU / LFU)</t>
  </si>
  <si>
    <t xml:space="preserve">Bounded cache with eviction policy</t>
  </si>
  <si>
    <t xml:space="preserve">HashMap + doubly linked list (LFU: freq → DLL map)</t>
  </si>
  <si>
    <t xml:space="preserve">Hash-based Containers</t>
  </si>
  <si>
    <t xml:space="preserve">Implement set/map, O(1) insert/delete/random</t>
  </si>
  <si>
    <t xml:space="preserve">Array + index map; swap-with-last for delete</t>
  </si>
  <si>
    <t xml:space="preserve">O(1) avg</t>
  </si>
  <si>
    <t xml:space="preserve">Application / Service Design</t>
  </si>
  <si>
    <t xml:space="preserve">Model a real system (feed, transit, ratings, hit counter)</t>
  </si>
  <si>
    <t xml:space="preserve">Choose maps + heaps/sorted sets per query pattern</t>
  </si>
  <si>
    <t xml:space="preserve">Iterator Design</t>
  </si>
  <si>
    <t xml:space="preserve">Lazy traversal over nested/peekable structures</t>
  </si>
  <si>
    <t xml:space="preserve">Stack of iterators; cache next element</t>
  </si>
  <si>
    <t xml:space="preserve">O(1) amortised</t>
  </si>
  <si>
    <t xml:space="preserve">▌ ADVANCED DATA STRUCTURES</t>
  </si>
  <si>
    <t xml:space="preserve">Range Query Structures</t>
  </si>
  <si>
    <t xml:space="preserve">Segment Tree</t>
  </si>
  <si>
    <t xml:space="preserve">Range query + point/range update, both frequent</t>
  </si>
  <si>
    <t xml:space="preserve">Tree array of size 4n; lazy propagation for range updates</t>
  </si>
  <si>
    <t xml:space="preserve">Fenwick Tree (Binary Indexed Tree)</t>
  </si>
  <si>
    <t xml:space="preserve">Prefix sums with updates; count smaller/larger so far</t>
  </si>
  <si>
    <t xml:space="preserve">i += i &amp; −i to update, i −= i &amp; −i to query</t>
  </si>
  <si>
    <t xml:space="preserve">Ordered Map / TreeMap</t>
  </si>
  <si>
    <t xml:space="preserve">Need floor/ceiling, sorted keys with updates</t>
  </si>
  <si>
    <t xml:space="preserve">TreeMap / SortedList; or heap + lazy deletion</t>
  </si>
  <si>
    <t xml:space="preserve">#</t>
  </si>
  <si>
    <t xml:space="preserve">LC #</t>
  </si>
  <si>
    <t xml:space="preserve">Problem</t>
  </si>
  <si>
    <t xml:space="preserve">Difficulty</t>
  </si>
  <si>
    <t xml:space="preserve">Famous List</t>
  </si>
  <si>
    <t xml:space="preserve">Priority</t>
  </si>
  <si>
    <t xml:space="preserve">Premium</t>
  </si>
  <si>
    <t xml:space="preserve">LeetCode Link</t>
  </si>
  <si>
    <t xml:space="preserve">Status</t>
  </si>
  <si>
    <t xml:space="preserve">Date Solved</t>
  </si>
  <si>
    <t xml:space="preserve">Revisions</t>
  </si>
  <si>
    <t xml:space="preserve">Next Revision</t>
  </si>
  <si>
    <t xml:space="preserve">Confidence (1-5)</t>
  </si>
  <si>
    <t xml:space="preserve">Notes</t>
  </si>
  <si>
    <t xml:space="preserve">Two Sum</t>
  </si>
  <si>
    <t xml:space="preserve">P0</t>
  </si>
  <si>
    <t xml:space="preserve">https://leetcode.com/problems/two-sum/</t>
  </si>
  <si>
    <t xml:space="preserve">Example row — map value→index; check complement before inserting</t>
  </si>
  <si>
    <t xml:space="preserve">Max Number of K-Sum Pairs</t>
  </si>
  <si>
    <t xml:space="preserve">Practice</t>
  </si>
  <si>
    <t xml:space="preserve">P2</t>
  </si>
  <si>
    <t xml:space="preserve">https://leetcode.com/problems/max-number-of-k-sum-pairs/</t>
  </si>
  <si>
    <t xml:space="preserve">Not Started</t>
  </si>
  <si>
    <t xml:space="preserve">4Sum II</t>
  </si>
  <si>
    <t xml:space="preserve">https://leetcode.com/problems/4sum-ii/</t>
  </si>
  <si>
    <t xml:space="preserve">Contains Duplicate</t>
  </si>
  <si>
    <t xml:space="preserve">https://leetcode.com/problems/contains-duplicate/</t>
  </si>
  <si>
    <t xml:space="preserve">Contains Duplicate II</t>
  </si>
  <si>
    <t xml:space="preserve">https://leetcode.com/problems/contains-duplicate-ii/</t>
  </si>
  <si>
    <t xml:space="preserve">Unique Number of Occurrences</t>
  </si>
  <si>
    <t xml:space="preserve">https://leetcode.com/problems/unique-number-of-occurrences/</t>
  </si>
  <si>
    <t xml:space="preserve">Equal Row and Column Pairs</t>
  </si>
  <si>
    <t xml:space="preserve">https://leetcode.com/problems/equal-row-and-column-pairs/</t>
  </si>
  <si>
    <t xml:space="preserve">Valid Sudoku</t>
  </si>
  <si>
    <t xml:space="preserve">◆ NeetCode 150</t>
  </si>
  <si>
    <t xml:space="preserve">P1</t>
  </si>
  <si>
    <t xml:space="preserve">https://leetcode.com/problems/valid-sudoku/</t>
  </si>
  <si>
    <t xml:space="preserve">Group Shifted Strings</t>
  </si>
  <si>
    <t xml:space="preserve">🔒 Yes</t>
  </si>
  <si>
    <t xml:space="preserve">https://leetcode.com/problems/group-shifted-strings/</t>
  </si>
  <si>
    <t xml:space="preserve">Find Duplicate File in System</t>
  </si>
  <si>
    <t xml:space="preserve">https://leetcode.com/problems/find-duplicate-file-in-system/</t>
  </si>
  <si>
    <t xml:space="preserve">Intersection of Two Arrays</t>
  </si>
  <si>
    <t xml:space="preserve">https://leetcode.com/problems/intersection-of-two-arrays/</t>
  </si>
  <si>
    <t xml:space="preserve">Happy Number</t>
  </si>
  <si>
    <t xml:space="preserve">https://leetcode.com/problems/happy-number/</t>
  </si>
  <si>
    <t xml:space="preserve">Longest Consecutive Sequence</t>
  </si>
  <si>
    <t xml:space="preserve">https://leetcode.com/problems/longest-consecutive-sequence/</t>
  </si>
  <si>
    <t xml:space="preserve">Valid Palindrome</t>
  </si>
  <si>
    <t xml:space="preserve">https://leetcode.com/problems/valid-palindrome/</t>
  </si>
  <si>
    <t xml:space="preserve">Squares of a Sorted Array</t>
  </si>
  <si>
    <t xml:space="preserve">https://leetcode.com/problems/squares-of-a-sorted-array/</t>
  </si>
  <si>
    <t xml:space="preserve">Two Sum II - Input Array Is Sorted</t>
  </si>
  <si>
    <t xml:space="preserve">https://leetcode.com/problems/two-sum-ii-input-array-is-sorted/</t>
  </si>
  <si>
    <t xml:space="preserve">Container With Most Water</t>
  </si>
  <si>
    <t xml:space="preserve">https://leetcode.com/problems/container-with-most-water/</t>
  </si>
  <si>
    <t xml:space="preserve">Boats to Save People</t>
  </si>
  <si>
    <t xml:space="preserve">https://leetcode.com/problems/boats-to-save-people/</t>
  </si>
  <si>
    <t xml:space="preserve">Trapping Rain Water</t>
  </si>
  <si>
    <t xml:space="preserve">https://leetcode.com/problems/trapping-rain-water/</t>
  </si>
  <si>
    <t xml:space="preserve">Remove Duplicates from Sorted Array</t>
  </si>
  <si>
    <t xml:space="preserve">https://leetcode.com/problems/remove-duplicates-from-sorted-array/</t>
  </si>
  <si>
    <t xml:space="preserve">Remove Element</t>
  </si>
  <si>
    <t xml:space="preserve">https://leetcode.com/problems/remove-element/</t>
  </si>
  <si>
    <t xml:space="preserve">Move Zeroes</t>
  </si>
  <si>
    <t xml:space="preserve">https://leetcode.com/problems/move-zeroes/</t>
  </si>
  <si>
    <t xml:space="preserve">Merge Sorted Array</t>
  </si>
  <si>
    <t xml:space="preserve">https://leetcode.com/problems/merge-sorted-array/</t>
  </si>
  <si>
    <t xml:space="preserve">Is Subsequence</t>
  </si>
  <si>
    <t xml:space="preserve">https://leetcode.com/problems/is-subsequence/</t>
  </si>
  <si>
    <t xml:space="preserve">Remove Duplicates from Sorted Array II</t>
  </si>
  <si>
    <t xml:space="preserve">https://leetcode.com/problems/remove-duplicates-from-sorted-array-ii/</t>
  </si>
  <si>
    <t xml:space="preserve">3Sum</t>
  </si>
  <si>
    <t xml:space="preserve">https://leetcode.com/problems/3sum/</t>
  </si>
  <si>
    <t xml:space="preserve">3Sum Closest</t>
  </si>
  <si>
    <t xml:space="preserve">https://leetcode.com/problems/3sum-closest/</t>
  </si>
  <si>
    <t xml:space="preserve">Valid Triangle Number</t>
  </si>
  <si>
    <t xml:space="preserve">https://leetcode.com/problems/valid-triangle-number/</t>
  </si>
  <si>
    <t xml:space="preserve">4Sum</t>
  </si>
  <si>
    <t xml:space="preserve">https://leetcode.com/problems/4sum/</t>
  </si>
  <si>
    <t xml:space="preserve">Sort Array By Parity</t>
  </si>
  <si>
    <t xml:space="preserve">https://leetcode.com/problems/sort-array-by-parity/</t>
  </si>
  <si>
    <t xml:space="preserve">Sort Colors</t>
  </si>
  <si>
    <t xml:space="preserve">https://leetcode.com/problems/sort-colors/</t>
  </si>
  <si>
    <t xml:space="preserve">Partition Array According to Given Pivot</t>
  </si>
  <si>
    <t xml:space="preserve">https://leetcode.com/problems/partition-array-according-to-given-pivot/</t>
  </si>
  <si>
    <t xml:space="preserve">Rotate Array</t>
  </si>
  <si>
    <t xml:space="preserve">https://leetcode.com/problems/rotate-array/</t>
  </si>
  <si>
    <t xml:space="preserve">Next Permutation</t>
  </si>
  <si>
    <t xml:space="preserve">https://leetcode.com/problems/next-permutation/</t>
  </si>
  <si>
    <t xml:space="preserve">Majority Element</t>
  </si>
  <si>
    <t xml:space="preserve">https://leetcode.com/problems/majority-element/</t>
  </si>
  <si>
    <t xml:space="preserve">Majority Element II</t>
  </si>
  <si>
    <t xml:space="preserve">https://leetcode.com/problems/majority-element-ii/</t>
  </si>
  <si>
    <t xml:space="preserve">Find All Numbers Disappeared in an Array</t>
  </si>
  <si>
    <t xml:space="preserve">https://leetcode.com/problems/find-all-numbers-disappeared-in-an-array/</t>
  </si>
  <si>
    <t xml:space="preserve">Find All Duplicates in an Array</t>
  </si>
  <si>
    <t xml:space="preserve">https://leetcode.com/problems/find-all-duplicates-in-an-array/</t>
  </si>
  <si>
    <t xml:space="preserve">Find the Duplicate Number</t>
  </si>
  <si>
    <t xml:space="preserve">https://leetcode.com/problems/find-the-duplicate-number/</t>
  </si>
  <si>
    <t xml:space="preserve">First Missing Positive</t>
  </si>
  <si>
    <t xml:space="preserve">https://leetcode.com/problems/first-missing-positive/</t>
  </si>
  <si>
    <t xml:space="preserve">Maximum Average Subarray I</t>
  </si>
  <si>
    <t xml:space="preserve">https://leetcode.com/problems/maximum-average-subarray-i/</t>
  </si>
  <si>
    <t xml:space="preserve">Maximum Number of Vowels in a Substring of Given Length</t>
  </si>
  <si>
    <t xml:space="preserve">https://leetcode.com/problems/maximum-number-of-vowels-in-a-substring-of-given-length/</t>
  </si>
  <si>
    <t xml:space="preserve">Permutation in String</t>
  </si>
  <si>
    <t xml:space="preserve">https://leetcode.com/problems/permutation-in-string/</t>
  </si>
  <si>
    <t xml:space="preserve">Find All Anagrams in a String</t>
  </si>
  <si>
    <t xml:space="preserve">https://leetcode.com/problems/find-all-anagrams-in-a-string/</t>
  </si>
  <si>
    <t xml:space="preserve">Maximum Points You Can Obtain from Cards</t>
  </si>
  <si>
    <t xml:space="preserve">https://leetcode.com/problems/maximum-points-you-can-obtain-from-cards/</t>
  </si>
  <si>
    <t xml:space="preserve">Maximum Sum of Distinct Subarrays With Length K</t>
  </si>
  <si>
    <t xml:space="preserve">https://leetcode.com/problems/maximum-sum-of-distinct-subarrays-with-length-k/</t>
  </si>
  <si>
    <t xml:space="preserve">Substring with Concatenation of All Words</t>
  </si>
  <si>
    <t xml:space="preserve">https://leetcode.com/problems/substring-with-concatenation-of-all-words/</t>
  </si>
  <si>
    <t xml:space="preserve">Longest Substring Without Repeating Characters</t>
  </si>
  <si>
    <t xml:space="preserve">https://leetcode.com/problems/longest-substring-without-repeating-characters/</t>
  </si>
  <si>
    <t xml:space="preserve">Minimum Size Subarray Sum</t>
  </si>
  <si>
    <t xml:space="preserve">https://leetcode.com/problems/minimum-size-subarray-sum/</t>
  </si>
  <si>
    <t xml:space="preserve">Longest Repeating Character Replacement</t>
  </si>
  <si>
    <t xml:space="preserve">https://leetcode.com/problems/longest-repeating-character-replacement/</t>
  </si>
  <si>
    <t xml:space="preserve">Max Consecutive Ones III</t>
  </si>
  <si>
    <t xml:space="preserve">https://leetcode.com/problems/max-consecutive-ones-iii/</t>
  </si>
  <si>
    <t xml:space="preserve">Fruit Into Baskets</t>
  </si>
  <si>
    <t xml:space="preserve">https://leetcode.com/problems/fruit-into-baskets/</t>
  </si>
  <si>
    <t xml:space="preserve">Longest Subarray of 1's After Deleting One Element</t>
  </si>
  <si>
    <t xml:space="preserve">https://leetcode.com/problems/longest-subarray-of-1s-after-deleting-one-element/</t>
  </si>
  <si>
    <t xml:space="preserve">Minimum Window Substring</t>
  </si>
  <si>
    <t xml:space="preserve">https://leetcode.com/problems/minimum-window-substring/</t>
  </si>
  <si>
    <t xml:space="preserve">Subarray Product Less Than K</t>
  </si>
  <si>
    <t xml:space="preserve">https://leetcode.com/problems/subarray-product-less-than-k/</t>
  </si>
  <si>
    <t xml:space="preserve">Binary Subarrays With Sum</t>
  </si>
  <si>
    <t xml:space="preserve">https://leetcode.com/problems/binary-subarrays-with-sum/</t>
  </si>
  <si>
    <t xml:space="preserve">Count Number of Nice Subarrays</t>
  </si>
  <si>
    <t xml:space="preserve">https://leetcode.com/problems/count-number-of-nice-subarrays/</t>
  </si>
  <si>
    <t xml:space="preserve">Number of Substrings Containing All Three Characters</t>
  </si>
  <si>
    <t xml:space="preserve">https://leetcode.com/problems/number-of-substrings-containing-all-three-characters/</t>
  </si>
  <si>
    <t xml:space="preserve">Longest Substring with At Most K Distinct Characters</t>
  </si>
  <si>
    <t xml:space="preserve">https://leetcode.com/problems/longest-substring-with-at-most-k-distinct-characters/</t>
  </si>
  <si>
    <t xml:space="preserve">Subarrays with K Different Integers</t>
  </si>
  <si>
    <t xml:space="preserve">https://leetcode.com/problems/subarrays-with-k-different-integers/</t>
  </si>
  <si>
    <t xml:space="preserve">Count Subarrays With Score Less Than K</t>
  </si>
  <si>
    <t xml:space="preserve">https://leetcode.com/problems/count-subarrays-with-score-less-than-k/</t>
  </si>
  <si>
    <t xml:space="preserve">Longest Continuous Subarray With Absolute Diff Less Than or Equal to Limit</t>
  </si>
  <si>
    <t xml:space="preserve">https://leetcode.com/problems/longest-continuous-subarray-with-absolute-diff-less-than-or-equal-to-limit/</t>
  </si>
  <si>
    <t xml:space="preserve">Jump Game VI</t>
  </si>
  <si>
    <t xml:space="preserve">https://leetcode.com/problems/jump-game-vi/</t>
  </si>
  <si>
    <t xml:space="preserve">Sliding Window Maximum</t>
  </si>
  <si>
    <t xml:space="preserve">https://leetcode.com/problems/sliding-window-maximum/</t>
  </si>
  <si>
    <t xml:space="preserve">Shortest Subarray with Sum at Least K</t>
  </si>
  <si>
    <t xml:space="preserve">https://leetcode.com/problems/shortest-subarray-with-sum-at-least-k/</t>
  </si>
  <si>
    <t xml:space="preserve">Max Value of Equation</t>
  </si>
  <si>
    <t xml:space="preserve">https://leetcode.com/problems/max-value-of-equation/</t>
  </si>
  <si>
    <t xml:space="preserve">Running Sum of 1d Array</t>
  </si>
  <si>
    <t xml:space="preserve">https://leetcode.com/problems/running-sum-of-1d-array/</t>
  </si>
  <si>
    <t xml:space="preserve">Range Sum Query - Immutable</t>
  </si>
  <si>
    <t xml:space="preserve">https://leetcode.com/problems/range-sum-query-immutable/</t>
  </si>
  <si>
    <t xml:space="preserve">Find Pivot Index</t>
  </si>
  <si>
    <t xml:space="preserve">https://leetcode.com/problems/find-pivot-index/</t>
  </si>
  <si>
    <t xml:space="preserve">Subarray Sum Equals K</t>
  </si>
  <si>
    <t xml:space="preserve">https://leetcode.com/problems/subarray-sum-equals-k/</t>
  </si>
  <si>
    <t xml:space="preserve">Subarray Sums Divisible by K</t>
  </si>
  <si>
    <t xml:space="preserve">https://leetcode.com/problems/subarray-sums-divisible-by-k/</t>
  </si>
  <si>
    <t xml:space="preserve">Continuous Subarray Sum</t>
  </si>
  <si>
    <t xml:space="preserve">https://leetcode.com/problems/continuous-subarray-sum/</t>
  </si>
  <si>
    <t xml:space="preserve">Contiguous Array</t>
  </si>
  <si>
    <t xml:space="preserve">https://leetcode.com/problems/contiguous-array/</t>
  </si>
  <si>
    <t xml:space="preserve">Number of Submatrices That Sum to Target</t>
  </si>
  <si>
    <t xml:space="preserve">https://leetcode.com/problems/number-of-submatrices-that-sum-to-target/</t>
  </si>
  <si>
    <t xml:space="preserve">Range Sum Query 2D - Immutable</t>
  </si>
  <si>
    <t xml:space="preserve">https://leetcode.com/problems/range-sum-query-2d-immutable/</t>
  </si>
  <si>
    <t xml:space="preserve">Matrix Block Sum</t>
  </si>
  <si>
    <t xml:space="preserve">https://leetcode.com/problems/matrix-block-sum/</t>
  </si>
  <si>
    <t xml:space="preserve">Car Pooling</t>
  </si>
  <si>
    <t xml:space="preserve">https://leetcode.com/problems/car-pooling/</t>
  </si>
  <si>
    <t xml:space="preserve">Corporate Flight Bookings</t>
  </si>
  <si>
    <t xml:space="preserve">https://leetcode.com/problems/corporate-flight-bookings/</t>
  </si>
  <si>
    <t xml:space="preserve">Shifting Letters II</t>
  </si>
  <si>
    <t xml:space="preserve">https://leetcode.com/problems/shifting-letters-ii/</t>
  </si>
  <si>
    <t xml:space="preserve">Product of Array Except Self</t>
  </si>
  <si>
    <t xml:space="preserve">https://leetcode.com/problems/product-of-array-except-self/</t>
  </si>
  <si>
    <t xml:space="preserve">Minimum Penalty for a Shop</t>
  </si>
  <si>
    <t xml:space="preserve">https://leetcode.com/problems/minimum-penalty-for-a-shop/</t>
  </si>
  <si>
    <t xml:space="preserve">Best Time to Buy and Sell Stock</t>
  </si>
  <si>
    <t xml:space="preserve">https://leetcode.com/problems/best-time-to-buy-and-sell-stock/</t>
  </si>
  <si>
    <t xml:space="preserve">Maximum Subarray</t>
  </si>
  <si>
    <t xml:space="preserve">https://leetcode.com/problems/maximum-subarray/</t>
  </si>
  <si>
    <t xml:space="preserve">Maximum Absolute Sum of Any Subarray</t>
  </si>
  <si>
    <t xml:space="preserve">https://leetcode.com/problems/maximum-absolute-sum-of-any-subarray/</t>
  </si>
  <si>
    <t xml:space="preserve">Maximum Product Subarray</t>
  </si>
  <si>
    <t xml:space="preserve">https://leetcode.com/problems/maximum-product-subarray/</t>
  </si>
  <si>
    <t xml:space="preserve">Maximum Sum Circular Subarray</t>
  </si>
  <si>
    <t xml:space="preserve">https://leetcode.com/problems/maximum-sum-circular-subarray/</t>
  </si>
  <si>
    <t xml:space="preserve">Maximum Subarray Sum with One Deletion</t>
  </si>
  <si>
    <t xml:space="preserve">https://leetcode.com/problems/maximum-subarray-sum-with-one-deletion/</t>
  </si>
  <si>
    <t xml:space="preserve">Valid Palindrome II</t>
  </si>
  <si>
    <t xml:space="preserve">https://leetcode.com/problems/valid-palindrome-ii/</t>
  </si>
  <si>
    <t xml:space="preserve">Palindrome Number</t>
  </si>
  <si>
    <t xml:space="preserve">https://leetcode.com/problems/palindrome-number/</t>
  </si>
  <si>
    <t xml:space="preserve">Longest Palindromic Substring</t>
  </si>
  <si>
    <t xml:space="preserve">https://leetcode.com/problems/longest-palindromic-substring/</t>
  </si>
  <si>
    <t xml:space="preserve">Palindromic Substrings</t>
  </si>
  <si>
    <t xml:space="preserve">https://leetcode.com/problems/palindromic-substrings/</t>
  </si>
  <si>
    <t xml:space="preserve">Longest Palindrome</t>
  </si>
  <si>
    <t xml:space="preserve">https://leetcode.com/problems/longest-palindrome/</t>
  </si>
  <si>
    <t xml:space="preserve">Shortest Palindrome</t>
  </si>
  <si>
    <t xml:space="preserve">https://leetcode.com/problems/shortest-palindrome/</t>
  </si>
  <si>
    <t xml:space="preserve">Palindrome Pairs</t>
  </si>
  <si>
    <t xml:space="preserve">https://leetcode.com/problems/palindrome-pairs/</t>
  </si>
  <si>
    <t xml:space="preserve">Valid Anagram</t>
  </si>
  <si>
    <t xml:space="preserve">https://leetcode.com/problems/valid-anagram/</t>
  </si>
  <si>
    <t xml:space="preserve">Ransom Note</t>
  </si>
  <si>
    <t xml:space="preserve">https://leetcode.com/problems/ransom-note/</t>
  </si>
  <si>
    <t xml:space="preserve">First Unique Character in a String</t>
  </si>
  <si>
    <t xml:space="preserve">https://leetcode.com/problems/first-unique-character-in-a-string/</t>
  </si>
  <si>
    <t xml:space="preserve">Group Anagrams</t>
  </si>
  <si>
    <t xml:space="preserve">https://leetcode.com/problems/group-anagrams/</t>
  </si>
  <si>
    <t xml:space="preserve">Determine if Two Strings Are Close</t>
  </si>
  <si>
    <t xml:space="preserve">https://leetcode.com/problems/determine-if-two-strings-are-close/</t>
  </si>
  <si>
    <t xml:space="preserve">Sort Characters By Frequency</t>
  </si>
  <si>
    <t xml:space="preserve">https://leetcode.com/problems/sort-characters-by-frequency/</t>
  </si>
  <si>
    <t xml:space="preserve">Isomorphic Strings</t>
  </si>
  <si>
    <t xml:space="preserve">https://leetcode.com/problems/isomorphic-strings/</t>
  </si>
  <si>
    <t xml:space="preserve">Word Pattern</t>
  </si>
  <si>
    <t xml:space="preserve">https://leetcode.com/problems/word-pattern/</t>
  </si>
  <si>
    <t xml:space="preserve">Number of Matching Subsequences</t>
  </si>
  <si>
    <t xml:space="preserve">https://leetcode.com/problems/number-of-matching-subsequences/</t>
  </si>
  <si>
    <t xml:space="preserve">Find the Index of the First Occurrence in a String</t>
  </si>
  <si>
    <t xml:space="preserve">https://leetcode.com/problems/find-the-index-of-the-first-occurrence-in-a-string/</t>
  </si>
  <si>
    <t xml:space="preserve">Repeated Substring Pattern</t>
  </si>
  <si>
    <t xml:space="preserve">https://leetcode.com/problems/repeated-substring-pattern/</t>
  </si>
  <si>
    <t xml:space="preserve">Longest Happy Prefix</t>
  </si>
  <si>
    <t xml:space="preserve">https://leetcode.com/problems/longest-happy-prefix/</t>
  </si>
  <si>
    <t xml:space="preserve">Repeated DNA Sequences</t>
  </si>
  <si>
    <t xml:space="preserve">https://leetcode.com/problems/repeated-dna-sequences/</t>
  </si>
  <si>
    <t xml:space="preserve">Repeated String Match</t>
  </si>
  <si>
    <t xml:space="preserve">https://leetcode.com/problems/repeated-string-match/</t>
  </si>
  <si>
    <t xml:space="preserve">Longest Duplicate Substring</t>
  </si>
  <si>
    <t xml:space="preserve">https://leetcode.com/problems/longest-duplicate-substring/</t>
  </si>
  <si>
    <t xml:space="preserve">Sum of Scores of Built Strings</t>
  </si>
  <si>
    <t xml:space="preserve">https://leetcode.com/problems/sum-of-scores-of-built-strings/</t>
  </si>
  <si>
    <t xml:space="preserve">Roman to Integer</t>
  </si>
  <si>
    <t xml:space="preserve">https://leetcode.com/problems/roman-to-integer/</t>
  </si>
  <si>
    <t xml:space="preserve">Longest Common Prefix</t>
  </si>
  <si>
    <t xml:space="preserve">https://leetcode.com/problems/longest-common-prefix/</t>
  </si>
  <si>
    <t xml:space="preserve">Add Binary</t>
  </si>
  <si>
    <t xml:space="preserve">https://leetcode.com/problems/add-binary/</t>
  </si>
  <si>
    <t xml:space="preserve">String to Integer (atoi)</t>
  </si>
  <si>
    <t xml:space="preserve">https://leetcode.com/problems/string-to-integer-atoi/</t>
  </si>
  <si>
    <t xml:space="preserve">Integer to Roman</t>
  </si>
  <si>
    <t xml:space="preserve">https://leetcode.com/problems/integer-to-roman/</t>
  </si>
  <si>
    <t xml:space="preserve">Reverse Words in a String</t>
  </si>
  <si>
    <t xml:space="preserve">https://leetcode.com/problems/reverse-words-in-a-string/</t>
  </si>
  <si>
    <t xml:space="preserve">Zigzag Conversion</t>
  </si>
  <si>
    <t xml:space="preserve">https://leetcode.com/problems/zigzag-conversion/</t>
  </si>
  <si>
    <t xml:space="preserve">String Compression</t>
  </si>
  <si>
    <t xml:space="preserve">https://leetcode.com/problems/string-compression/</t>
  </si>
  <si>
    <t xml:space="preserve">Encode and Decode Strings</t>
  </si>
  <si>
    <t xml:space="preserve">https://leetcode.com/problems/encode-and-decode-strings/</t>
  </si>
  <si>
    <t xml:space="preserve">Multiply Strings</t>
  </si>
  <si>
    <t xml:space="preserve">https://leetcode.com/problems/multiply-strings/</t>
  </si>
  <si>
    <t xml:space="preserve">Text Justification</t>
  </si>
  <si>
    <t xml:space="preserve">https://leetcode.com/problems/text-justification/</t>
  </si>
  <si>
    <t xml:space="preserve">Spiral Matrix</t>
  </si>
  <si>
    <t xml:space="preserve">https://leetcode.com/problems/spiral-matrix/</t>
  </si>
  <si>
    <t xml:space="preserve">Spiral Matrix II</t>
  </si>
  <si>
    <t xml:space="preserve">https://leetcode.com/problems/spiral-matrix-ii/</t>
  </si>
  <si>
    <t xml:space="preserve">Diagonal Traverse</t>
  </si>
  <si>
    <t xml:space="preserve">https://leetcode.com/problems/diagonal-traverse/</t>
  </si>
  <si>
    <t xml:space="preserve">Transpose Matrix</t>
  </si>
  <si>
    <t xml:space="preserve">https://leetcode.com/problems/transpose-matrix/</t>
  </si>
  <si>
    <t xml:space="preserve">Toeplitz Matrix</t>
  </si>
  <si>
    <t xml:space="preserve">https://leetcode.com/problems/toeplitz-matrix/</t>
  </si>
  <si>
    <t xml:space="preserve">Rotate Image</t>
  </si>
  <si>
    <t xml:space="preserve">https://leetcode.com/problems/rotate-image/</t>
  </si>
  <si>
    <t xml:space="preserve">Set Matrix Zeroes</t>
  </si>
  <si>
    <t xml:space="preserve">https://leetcode.com/problems/set-matrix-zeroes/</t>
  </si>
  <si>
    <t xml:space="preserve">Game of Life</t>
  </si>
  <si>
    <t xml:space="preserve">https://leetcode.com/problems/game-of-life/</t>
  </si>
  <si>
    <t xml:space="preserve">Valid Parentheses</t>
  </si>
  <si>
    <t xml:space="preserve">https://leetcode.com/problems/valid-parentheses/</t>
  </si>
  <si>
    <t xml:space="preserve">Remove All Adjacent Duplicates In String</t>
  </si>
  <si>
    <t xml:space="preserve">https://leetcode.com/problems/remove-all-adjacent-duplicates-in-string/</t>
  </si>
  <si>
    <t xml:space="preserve">Minimum Add to Make Parentheses Valid</t>
  </si>
  <si>
    <t xml:space="preserve">https://leetcode.com/problems/minimum-add-to-make-parentheses-valid/</t>
  </si>
  <si>
    <t xml:space="preserve">Minimum Remove to Make Valid Parentheses</t>
  </si>
  <si>
    <t xml:space="preserve">https://leetcode.com/problems/minimum-remove-to-make-valid-parentheses/</t>
  </si>
  <si>
    <t xml:space="preserve">Remove All Adjacent Duplicates in String II</t>
  </si>
  <si>
    <t xml:space="preserve">https://leetcode.com/problems/remove-all-adjacent-duplicates-in-string-ii/</t>
  </si>
  <si>
    <t xml:space="preserve">Longest Valid Parentheses</t>
  </si>
  <si>
    <t xml:space="preserve">https://leetcode.com/problems/longest-valid-parentheses/</t>
  </si>
  <si>
    <t xml:space="preserve">Removing Stars From a String</t>
  </si>
  <si>
    <t xml:space="preserve">https://leetcode.com/problems/removing-stars-from-a-string/</t>
  </si>
  <si>
    <t xml:space="preserve">Asteroid Collision</t>
  </si>
  <si>
    <t xml:space="preserve">https://leetcode.com/problems/asteroid-collision/</t>
  </si>
  <si>
    <t xml:space="preserve">Validate Stack Sequences</t>
  </si>
  <si>
    <t xml:space="preserve">https://leetcode.com/problems/validate-stack-sequences/</t>
  </si>
  <si>
    <t xml:space="preserve">Evaluate Reverse Polish Notation</t>
  </si>
  <si>
    <t xml:space="preserve">https://leetcode.com/problems/evaluate-reverse-polish-notation/</t>
  </si>
  <si>
    <t xml:space="preserve">Decode String</t>
  </si>
  <si>
    <t xml:space="preserve">https://leetcode.com/problems/decode-string/</t>
  </si>
  <si>
    <t xml:space="preserve">Simplify Path</t>
  </si>
  <si>
    <t xml:space="preserve">https://leetcode.com/problems/simplify-path/</t>
  </si>
  <si>
    <t xml:space="preserve">Basic Calculator II</t>
  </si>
  <si>
    <t xml:space="preserve">https://leetcode.com/problems/basic-calculator-ii/</t>
  </si>
  <si>
    <t xml:space="preserve">Basic Calculator</t>
  </si>
  <si>
    <t xml:space="preserve">https://leetcode.com/problems/basic-calculator/</t>
  </si>
  <si>
    <t xml:space="preserve">Next Greater Element I</t>
  </si>
  <si>
    <t xml:space="preserve">https://leetcode.com/problems/next-greater-element-i/</t>
  </si>
  <si>
    <t xml:space="preserve">Daily Temperatures</t>
  </si>
  <si>
    <t xml:space="preserve">https://leetcode.com/problems/daily-temperatures/</t>
  </si>
  <si>
    <t xml:space="preserve">Next Greater Element II</t>
  </si>
  <si>
    <t xml:space="preserve">https://leetcode.com/problems/next-greater-element-ii/</t>
  </si>
  <si>
    <t xml:space="preserve">Online Stock Span</t>
  </si>
  <si>
    <t xml:space="preserve">https://leetcode.com/problems/online-stock-span/</t>
  </si>
  <si>
    <t xml:space="preserve">Car Fleet</t>
  </si>
  <si>
    <t xml:space="preserve">https://leetcode.com/problems/car-fleet/</t>
  </si>
  <si>
    <t xml:space="preserve">Largest Rectangle in Histogram</t>
  </si>
  <si>
    <t xml:space="preserve">https://leetcode.com/problems/largest-rectangle-in-histogram/</t>
  </si>
  <si>
    <t xml:space="preserve">Maximal Rectangle</t>
  </si>
  <si>
    <t xml:space="preserve">https://leetcode.com/problems/maximal-rectangle/</t>
  </si>
  <si>
    <t xml:space="preserve">Sum of Subarray Minimums</t>
  </si>
  <si>
    <t xml:space="preserve">https://leetcode.com/problems/sum-of-subarray-minimums/</t>
  </si>
  <si>
    <t xml:space="preserve">Sum of Subarray Ranges</t>
  </si>
  <si>
    <t xml:space="preserve">https://leetcode.com/problems/sum-of-subarray-ranges/</t>
  </si>
  <si>
    <t xml:space="preserve">Remove K Digits</t>
  </si>
  <si>
    <t xml:space="preserve">https://leetcode.com/problems/remove-k-digits/</t>
  </si>
  <si>
    <t xml:space="preserve">Remove Duplicate Letters</t>
  </si>
  <si>
    <t xml:space="preserve">https://leetcode.com/problems/remove-duplicate-letters/</t>
  </si>
  <si>
    <t xml:space="preserve">Implement Queue using Stacks</t>
  </si>
  <si>
    <t xml:space="preserve">https://leetcode.com/problems/implement-queue-using-stacks/</t>
  </si>
  <si>
    <t xml:space="preserve">Implement Stack using Queues</t>
  </si>
  <si>
    <t xml:space="preserve">https://leetcode.com/problems/implement-stack-using-queues/</t>
  </si>
  <si>
    <t xml:space="preserve">Min Stack</t>
  </si>
  <si>
    <t xml:space="preserve">https://leetcode.com/problems/min-stack/</t>
  </si>
  <si>
    <t xml:space="preserve">Maximum Frequency Stack</t>
  </si>
  <si>
    <t xml:space="preserve">https://leetcode.com/problems/maximum-frequency-stack/</t>
  </si>
  <si>
    <t xml:space="preserve">Number of Recent Calls</t>
  </si>
  <si>
    <t xml:space="preserve">https://leetcode.com/problems/number-of-recent-calls/</t>
  </si>
  <si>
    <t xml:space="preserve">Dota2 Senate</t>
  </si>
  <si>
    <t xml:space="preserve">https://leetcode.com/problems/dota2-senate/</t>
  </si>
  <si>
    <t xml:space="preserve">Reveal Cards In Increasing Order</t>
  </si>
  <si>
    <t xml:space="preserve">https://leetcode.com/problems/reveal-cards-in-increasing-order/</t>
  </si>
  <si>
    <t xml:space="preserve">Design Circular Queue</t>
  </si>
  <si>
    <t xml:space="preserve">https://leetcode.com/problems/design-circular-queue/</t>
  </si>
  <si>
    <t xml:space="preserve">Design Circular Deque</t>
  </si>
  <si>
    <t xml:space="preserve">https://leetcode.com/problems/design-circular-deque/</t>
  </si>
  <si>
    <t xml:space="preserve">https://leetcode.com/problems/binary-search/</t>
  </si>
  <si>
    <t xml:space="preserve">Search Insert Position</t>
  </si>
  <si>
    <t xml:space="preserve">https://leetcode.com/problems/search-insert-position/</t>
  </si>
  <si>
    <t xml:space="preserve">First Bad Version</t>
  </si>
  <si>
    <t xml:space="preserve">https://leetcode.com/problems/first-bad-version/</t>
  </si>
  <si>
    <t xml:space="preserve">Sqrt(x)</t>
  </si>
  <si>
    <t xml:space="preserve">https://leetcode.com/problems/sqrtx/</t>
  </si>
  <si>
    <t xml:space="preserve">Find Smallest Letter Greater Than Target</t>
  </si>
  <si>
    <t xml:space="preserve">https://leetcode.com/problems/find-smallest-letter-greater-than-target/</t>
  </si>
  <si>
    <t xml:space="preserve">Find First and Last Position of Element in Sorted Array</t>
  </si>
  <si>
    <t xml:space="preserve">https://leetcode.com/problems/find-first-and-last-position-of-element-in-sorted-array/</t>
  </si>
  <si>
    <t xml:space="preserve">Find K Closest Elements</t>
  </si>
  <si>
    <t xml:space="preserve">https://leetcode.com/problems/find-k-closest-elements/</t>
  </si>
  <si>
    <t xml:space="preserve">Search in Rotated Sorted Array</t>
  </si>
  <si>
    <t xml:space="preserve">https://leetcode.com/problems/search-in-rotated-sorted-array/</t>
  </si>
  <si>
    <t xml:space="preserve">Find Minimum in Rotated Sorted Array</t>
  </si>
  <si>
    <t xml:space="preserve">https://leetcode.com/problems/find-minimum-in-rotated-sorted-array/</t>
  </si>
  <si>
    <t xml:space="preserve">Search in Rotated Sorted Array II</t>
  </si>
  <si>
    <t xml:space="preserve">https://leetcode.com/problems/search-in-rotated-sorted-array-ii/</t>
  </si>
  <si>
    <t xml:space="preserve">Find Minimum in Rotated Sorted Array II</t>
  </si>
  <si>
    <t xml:space="preserve">https://leetcode.com/problems/find-minimum-in-rotated-sorted-array-ii/</t>
  </si>
  <si>
    <t xml:space="preserve">Peak Index in a Mountain Array</t>
  </si>
  <si>
    <t xml:space="preserve">https://leetcode.com/problems/peak-index-in-a-mountain-array/</t>
  </si>
  <si>
    <t xml:space="preserve">Find Peak Element</t>
  </si>
  <si>
    <t xml:space="preserve">https://leetcode.com/problems/find-peak-element/</t>
  </si>
  <si>
    <t xml:space="preserve">Single Element in a Sorted Array</t>
  </si>
  <si>
    <t xml:space="preserve">https://leetcode.com/problems/single-element-in-a-sorted-array/</t>
  </si>
  <si>
    <t xml:space="preserve">Find in Mountain Array</t>
  </si>
  <si>
    <t xml:space="preserve">https://leetcode.com/problems/find-in-mountain-array/</t>
  </si>
  <si>
    <t xml:space="preserve">Search a 2D Matrix</t>
  </si>
  <si>
    <t xml:space="preserve">https://leetcode.com/problems/search-a-2d-matrix/</t>
  </si>
  <si>
    <t xml:space="preserve">Search a 2D Matrix II</t>
  </si>
  <si>
    <t xml:space="preserve">https://leetcode.com/problems/search-a-2d-matrix-ii/</t>
  </si>
  <si>
    <t xml:space="preserve">Kth Smallest Element in a Sorted Matrix</t>
  </si>
  <si>
    <t xml:space="preserve">https://leetcode.com/problems/kth-smallest-element-in-a-sorted-matrix/</t>
  </si>
  <si>
    <t xml:space="preserve">Time Based Key-Value Store</t>
  </si>
  <si>
    <t xml:space="preserve">https://leetcode.com/problems/time-based-key-value-store/</t>
  </si>
  <si>
    <t xml:space="preserve">Median of Two Sorted Arrays</t>
  </si>
  <si>
    <t xml:space="preserve">https://leetcode.com/problems/median-of-two-sorted-arrays/</t>
  </si>
  <si>
    <t xml:space="preserve">Koko Eating Bananas</t>
  </si>
  <si>
    <t xml:space="preserve">https://leetcode.com/problems/koko-eating-bananas/</t>
  </si>
  <si>
    <t xml:space="preserve">Capacity To Ship Packages Within D Days</t>
  </si>
  <si>
    <t xml:space="preserve">https://leetcode.com/problems/capacity-to-ship-packages-within-d-days/</t>
  </si>
  <si>
    <t xml:space="preserve">Find the Smallest Divisor Given a Threshold</t>
  </si>
  <si>
    <t xml:space="preserve">https://leetcode.com/problems/find-the-smallest-divisor-given-a-threshold/</t>
  </si>
  <si>
    <t xml:space="preserve">Minimum Number of Days to Make m Bouquets</t>
  </si>
  <si>
    <t xml:space="preserve">https://leetcode.com/problems/minimum-number-of-days-to-make-m-bouquets/</t>
  </si>
  <si>
    <t xml:space="preserve">Magnetic Force Between Two Balls</t>
  </si>
  <si>
    <t xml:space="preserve">https://leetcode.com/problems/magnetic-force-between-two-balls/</t>
  </si>
  <si>
    <t xml:space="preserve">Minimized Maximum of Products Distributed to Any Store</t>
  </si>
  <si>
    <t xml:space="preserve">https://leetcode.com/problems/minimized-maximum-of-products-distributed-to-any-store/</t>
  </si>
  <si>
    <t xml:space="preserve">Split Array Largest Sum</t>
  </si>
  <si>
    <t xml:space="preserve">https://leetcode.com/problems/split-array-largest-sum/</t>
  </si>
  <si>
    <t xml:space="preserve">Find K-th Smallest Pair Distance</t>
  </si>
  <si>
    <t xml:space="preserve">https://leetcode.com/problems/find-k-th-smallest-pair-distance/</t>
  </si>
  <si>
    <t xml:space="preserve">Linked List Cycle</t>
  </si>
  <si>
    <t xml:space="preserve">https://leetcode.com/problems/linked-list-cycle/</t>
  </si>
  <si>
    <t xml:space="preserve">Linked List Cycle II</t>
  </si>
  <si>
    <t xml:space="preserve">https://leetcode.com/problems/linked-list-cycle-ii/</t>
  </si>
  <si>
    <t xml:space="preserve">Middle of the Linked List</t>
  </si>
  <si>
    <t xml:space="preserve">https://leetcode.com/problems/middle-of-the-linked-list/</t>
  </si>
  <si>
    <t xml:space="preserve">Palindrome Linked List</t>
  </si>
  <si>
    <t xml:space="preserve">https://leetcode.com/problems/palindrome-linked-list/</t>
  </si>
  <si>
    <t xml:space="preserve">Delete the Middle Node of a Linked List</t>
  </si>
  <si>
    <t xml:space="preserve">https://leetcode.com/problems/delete-the-middle-node-of-a-linked-list/</t>
  </si>
  <si>
    <t xml:space="preserve">Reverse Linked List</t>
  </si>
  <si>
    <t xml:space="preserve">https://leetcode.com/problems/reverse-linked-list/</t>
  </si>
  <si>
    <t xml:space="preserve">Reverse Linked List II</t>
  </si>
  <si>
    <t xml:space="preserve">https://leetcode.com/problems/reverse-linked-list-ii/</t>
  </si>
  <si>
    <t xml:space="preserve">Swap Nodes in Pairs</t>
  </si>
  <si>
    <t xml:space="preserve">https://leetcode.com/problems/swap-nodes-in-pairs/</t>
  </si>
  <si>
    <t xml:space="preserve">Maximum Twin Sum of a Linked List</t>
  </si>
  <si>
    <t xml:space="preserve">https://leetcode.com/problems/maximum-twin-sum-of-a-linked-list/</t>
  </si>
  <si>
    <t xml:space="preserve">Reverse Nodes in k-Group</t>
  </si>
  <si>
    <t xml:space="preserve">https://leetcode.com/problems/reverse-nodes-in-k-group/</t>
  </si>
  <si>
    <t xml:space="preserve">Remove Linked List Elements</t>
  </si>
  <si>
    <t xml:space="preserve">https://leetcode.com/problems/remove-linked-list-elements/</t>
  </si>
  <si>
    <t xml:space="preserve">Remove Duplicates from Sorted List</t>
  </si>
  <si>
    <t xml:space="preserve">https://leetcode.com/problems/remove-duplicates-from-sorted-list/</t>
  </si>
  <si>
    <t xml:space="preserve">Remove Nth Node From End of List</t>
  </si>
  <si>
    <t xml:space="preserve">https://leetcode.com/problems/remove-nth-node-from-end-of-list/</t>
  </si>
  <si>
    <t xml:space="preserve">Remove Duplicates from Sorted List II</t>
  </si>
  <si>
    <t xml:space="preserve">https://leetcode.com/problems/remove-duplicates-from-sorted-list-ii/</t>
  </si>
  <si>
    <t xml:space="preserve">Merge Two Sorted Lists</t>
  </si>
  <si>
    <t xml:space="preserve">https://leetcode.com/problems/merge-two-sorted-lists/</t>
  </si>
  <si>
    <t xml:space="preserve">Reorder List</t>
  </si>
  <si>
    <t xml:space="preserve">https://leetcode.com/problems/reorder-list/</t>
  </si>
  <si>
    <t xml:space="preserve">Odd Even Linked List</t>
  </si>
  <si>
    <t xml:space="preserve">https://leetcode.com/problems/odd-even-linked-list/</t>
  </si>
  <si>
    <t xml:space="preserve">Partition List</t>
  </si>
  <si>
    <t xml:space="preserve">https://leetcode.com/problems/partition-list/</t>
  </si>
  <si>
    <t xml:space="preserve">Rotate List</t>
  </si>
  <si>
    <t xml:space="preserve">https://leetcode.com/problems/rotate-list/</t>
  </si>
  <si>
    <t xml:space="preserve">Intersection of Two Linked Lists</t>
  </si>
  <si>
    <t xml:space="preserve">https://leetcode.com/problems/intersection-of-two-linked-lists/</t>
  </si>
  <si>
    <t xml:space="preserve">Add Two Numbers</t>
  </si>
  <si>
    <t xml:space="preserve">https://leetcode.com/problems/add-two-numbers/</t>
  </si>
  <si>
    <t xml:space="preserve">Add Two Numbers II</t>
  </si>
  <si>
    <t xml:space="preserve">https://leetcode.com/problems/add-two-numbers-ii/</t>
  </si>
  <si>
    <t xml:space="preserve">Copy List with Random Pointer</t>
  </si>
  <si>
    <t xml:space="preserve">https://leetcode.com/problems/copy-list-with-random-pointer/</t>
  </si>
  <si>
    <t xml:space="preserve">Flatten a Multilevel Doubly Linked List</t>
  </si>
  <si>
    <t xml:space="preserve">https://leetcode.com/problems/flatten-a-multilevel-doubly-linked-list/</t>
  </si>
  <si>
    <t xml:space="preserve">Design Linked List</t>
  </si>
  <si>
    <t xml:space="preserve">https://leetcode.com/problems/design-linked-list/</t>
  </si>
  <si>
    <t xml:space="preserve">Summary Ranges</t>
  </si>
  <si>
    <t xml:space="preserve">https://leetcode.com/problems/summary-ranges/</t>
  </si>
  <si>
    <t xml:space="preserve">Merge Intervals</t>
  </si>
  <si>
    <t xml:space="preserve">https://leetcode.com/problems/merge-intervals/</t>
  </si>
  <si>
    <t xml:space="preserve">Insert Interval</t>
  </si>
  <si>
    <t xml:space="preserve">https://leetcode.com/problems/insert-interval/</t>
  </si>
  <si>
    <t xml:space="preserve">Meeting Rooms</t>
  </si>
  <si>
    <t xml:space="preserve">https://leetcode.com/problems/meeting-rooms/</t>
  </si>
  <si>
    <t xml:space="preserve">Non-overlapping Intervals</t>
  </si>
  <si>
    <t xml:space="preserve">https://leetcode.com/problems/non-overlapping-intervals/</t>
  </si>
  <si>
    <t xml:space="preserve">Minimum Number of Arrows to Burst Balloons</t>
  </si>
  <si>
    <t xml:space="preserve">https://leetcode.com/problems/minimum-number-of-arrows-to-burst-balloons/</t>
  </si>
  <si>
    <t xml:space="preserve">Meeting Rooms II</t>
  </si>
  <si>
    <t xml:space="preserve">https://leetcode.com/problems/meeting-rooms-ii/</t>
  </si>
  <si>
    <t xml:space="preserve">Minimum Interval to Include Each Query</t>
  </si>
  <si>
    <t xml:space="preserve">https://leetcode.com/problems/minimum-interval-to-include-each-query/</t>
  </si>
  <si>
    <t xml:space="preserve">Meeting Rooms III</t>
  </si>
  <si>
    <t xml:space="preserve">https://leetcode.com/problems/meeting-rooms-iii/</t>
  </si>
  <si>
    <t xml:space="preserve">My Calendar III</t>
  </si>
  <si>
    <t xml:space="preserve">https://leetcode.com/problems/my-calendar-iii/</t>
  </si>
  <si>
    <t xml:space="preserve">The Skyline Problem</t>
  </si>
  <si>
    <t xml:space="preserve">https://leetcode.com/problems/the-skyline-problem/</t>
  </si>
  <si>
    <t xml:space="preserve">Interval List Intersections</t>
  </si>
  <si>
    <t xml:space="preserve">https://leetcode.com/problems/interval-list-intersections/</t>
  </si>
  <si>
    <t xml:space="preserve">My Calendar I</t>
  </si>
  <si>
    <t xml:space="preserve">https://leetcode.com/problems/my-calendar-i/</t>
  </si>
  <si>
    <t xml:space="preserve">Employee Free Time</t>
  </si>
  <si>
    <t xml:space="preserve">https://leetcode.com/problems/employee-free-time/</t>
  </si>
  <si>
    <t xml:space="preserve">Binary Tree Preorder Traversal</t>
  </si>
  <si>
    <t xml:space="preserve">https://leetcode.com/problems/binary-tree-preorder-traversal/</t>
  </si>
  <si>
    <t xml:space="preserve">Binary Tree Inorder Traversal</t>
  </si>
  <si>
    <t xml:space="preserve">https://leetcode.com/problems/binary-tree-inorder-traversal/</t>
  </si>
  <si>
    <t xml:space="preserve">Binary Tree Postorder Traversal</t>
  </si>
  <si>
    <t xml:space="preserve">https://leetcode.com/problems/binary-tree-postorder-traversal/</t>
  </si>
  <si>
    <t xml:space="preserve">Same Tree</t>
  </si>
  <si>
    <t xml:space="preserve">https://leetcode.com/problems/same-tree/</t>
  </si>
  <si>
    <t xml:space="preserve">Invert Binary Tree</t>
  </si>
  <si>
    <t xml:space="preserve">https://leetcode.com/problems/invert-binary-tree/</t>
  </si>
  <si>
    <t xml:space="preserve">Symmetric Tree</t>
  </si>
  <si>
    <t xml:space="preserve">https://leetcode.com/problems/symmetric-tree/</t>
  </si>
  <si>
    <t xml:space="preserve">Subtree of Another Tree</t>
  </si>
  <si>
    <t xml:space="preserve">https://leetcode.com/problems/subtree-of-another-tree/</t>
  </si>
  <si>
    <t xml:space="preserve">Merge Two Binary Trees</t>
  </si>
  <si>
    <t xml:space="preserve">https://leetcode.com/problems/merge-two-binary-trees/</t>
  </si>
  <si>
    <t xml:space="preserve">Leaf-Similar Trees</t>
  </si>
  <si>
    <t xml:space="preserve">https://leetcode.com/problems/leaf-similar-trees/</t>
  </si>
  <si>
    <t xml:space="preserve">Average of Levels in Binary Tree</t>
  </si>
  <si>
    <t xml:space="preserve">https://leetcode.com/problems/average-of-levels-in-binary-tree/</t>
  </si>
  <si>
    <t xml:space="preserve">Binary Tree Level Order Traversal</t>
  </si>
  <si>
    <t xml:space="preserve">https://leetcode.com/problems/binary-tree-level-order-traversal/</t>
  </si>
  <si>
    <t xml:space="preserve">Binary Tree Zigzag Level Order Traversal</t>
  </si>
  <si>
    <t xml:space="preserve">https://leetcode.com/problems/binary-tree-zigzag-level-order-traversal/</t>
  </si>
  <si>
    <t xml:space="preserve">Binary Tree Right Side View</t>
  </si>
  <si>
    <t xml:space="preserve">https://leetcode.com/problems/binary-tree-right-side-view/</t>
  </si>
  <si>
    <t xml:space="preserve">Maximum Level Sum of a Binary Tree</t>
  </si>
  <si>
    <t xml:space="preserve">https://leetcode.com/problems/maximum-level-sum-of-a-binary-tree/</t>
  </si>
  <si>
    <t xml:space="preserve">Maximum Width of Binary Tree</t>
  </si>
  <si>
    <t xml:space="preserve">https://leetcode.com/problems/maximum-width-of-binary-tree/</t>
  </si>
  <si>
    <t xml:space="preserve">Populating Next Right Pointers in Each Node</t>
  </si>
  <si>
    <t xml:space="preserve">https://leetcode.com/problems/populating-next-right-pointers-in-each-node/</t>
  </si>
  <si>
    <t xml:space="preserve">All Nodes Distance K in Binary Tree</t>
  </si>
  <si>
    <t xml:space="preserve">https://leetcode.com/problems/all-nodes-distance-k-in-binary-tree/</t>
  </si>
  <si>
    <t xml:space="preserve">Amount of Time for Binary Tree to Be Infected</t>
  </si>
  <si>
    <t xml:space="preserve">https://leetcode.com/problems/amount-of-time-for-binary-tree-to-be-infected/</t>
  </si>
  <si>
    <t xml:space="preserve">Vertical Order Traversal of a Binary Tree</t>
  </si>
  <si>
    <t xml:space="preserve">https://leetcode.com/problems/vertical-order-traversal-of-a-binary-tree/</t>
  </si>
  <si>
    <t xml:space="preserve">Maximum Depth of Binary Tree</t>
  </si>
  <si>
    <t xml:space="preserve">https://leetcode.com/problems/maximum-depth-of-binary-tree/</t>
  </si>
  <si>
    <t xml:space="preserve">Minimum Depth of Binary Tree</t>
  </si>
  <si>
    <t xml:space="preserve">https://leetcode.com/problems/minimum-depth-of-binary-tree/</t>
  </si>
  <si>
    <t xml:space="preserve">Balanced Binary Tree</t>
  </si>
  <si>
    <t xml:space="preserve">https://leetcode.com/problems/balanced-binary-tree/</t>
  </si>
  <si>
    <t xml:space="preserve">Diameter of Binary Tree</t>
  </si>
  <si>
    <t xml:space="preserve">https://leetcode.com/problems/diameter-of-binary-tree/</t>
  </si>
  <si>
    <t xml:space="preserve">Binary Tree Maximum Path Sum</t>
  </si>
  <si>
    <t xml:space="preserve">https://leetcode.com/problems/binary-tree-maximum-path-sum/</t>
  </si>
  <si>
    <t xml:space="preserve">Path Sum</t>
  </si>
  <si>
    <t xml:space="preserve">https://leetcode.com/problems/path-sum/</t>
  </si>
  <si>
    <t xml:space="preserve">Binary Tree Paths</t>
  </si>
  <si>
    <t xml:space="preserve">https://leetcode.com/problems/binary-tree-paths/</t>
  </si>
  <si>
    <t xml:space="preserve">Path Sum II</t>
  </si>
  <si>
    <t xml:space="preserve">https://leetcode.com/problems/path-sum-ii/</t>
  </si>
  <si>
    <t xml:space="preserve">Sum Root to Leaf Numbers</t>
  </si>
  <si>
    <t xml:space="preserve">https://leetcode.com/problems/sum-root-to-leaf-numbers/</t>
  </si>
  <si>
    <t xml:space="preserve">Count Good Nodes in Binary Tree</t>
  </si>
  <si>
    <t xml:space="preserve">https://leetcode.com/problems/count-good-nodes-in-binary-tree/</t>
  </si>
  <si>
    <t xml:space="preserve">Path Sum III</t>
  </si>
  <si>
    <t xml:space="preserve">https://leetcode.com/problems/path-sum-iii/</t>
  </si>
  <si>
    <t xml:space="preserve">Longest ZigZag Path in a Binary Tree</t>
  </si>
  <si>
    <t xml:space="preserve">https://leetcode.com/problems/longest-zigzag-path-in-a-binary-tree/</t>
  </si>
  <si>
    <t xml:space="preserve">Lowest Common Ancestor of a Binary Search Tree</t>
  </si>
  <si>
    <t xml:space="preserve">https://leetcode.com/problems/lowest-common-ancestor-of-a-binary-search-tree/</t>
  </si>
  <si>
    <t xml:space="preserve">Lowest Common Ancestor of a Binary Tree</t>
  </si>
  <si>
    <t xml:space="preserve">https://leetcode.com/problems/lowest-common-ancestor-of-a-binary-tree/</t>
  </si>
  <si>
    <t xml:space="preserve">Lowest Common Ancestor of Deepest Leaves</t>
  </si>
  <si>
    <t xml:space="preserve">https://leetcode.com/problems/lowest-common-ancestor-of-deepest-leaves/</t>
  </si>
  <si>
    <t xml:space="preserve">Search in a Binary Search Tree</t>
  </si>
  <si>
    <t xml:space="preserve">https://leetcode.com/problems/search-in-a-binary-search-tree/</t>
  </si>
  <si>
    <t xml:space="preserve">Convert Sorted Array to Binary Search Tree</t>
  </si>
  <si>
    <t xml:space="preserve">https://leetcode.com/problems/convert-sorted-array-to-binary-search-tree/</t>
  </si>
  <si>
    <t xml:space="preserve">Insert into a Binary Search Tree</t>
  </si>
  <si>
    <t xml:space="preserve">https://leetcode.com/problems/insert-into-a-binary-search-tree/</t>
  </si>
  <si>
    <t xml:space="preserve">Delete Node in a BST</t>
  </si>
  <si>
    <t xml:space="preserve">https://leetcode.com/problems/delete-node-in-a-bst/</t>
  </si>
  <si>
    <t xml:space="preserve">Minimum Absolute Difference in BST</t>
  </si>
  <si>
    <t xml:space="preserve">https://leetcode.com/problems/minimum-absolute-difference-in-bst/</t>
  </si>
  <si>
    <t xml:space="preserve">Validate Binary Search Tree</t>
  </si>
  <si>
    <t xml:space="preserve">https://leetcode.com/problems/validate-binary-search-tree/</t>
  </si>
  <si>
    <t xml:space="preserve">Kth Smallest Element in a BST</t>
  </si>
  <si>
    <t xml:space="preserve">https://leetcode.com/problems/kth-smallest-element-in-a-bst/</t>
  </si>
  <si>
    <t xml:space="preserve">Binary Search Tree Iterator</t>
  </si>
  <si>
    <t xml:space="preserve">https://leetcode.com/problems/binary-search-tree-iterator/</t>
  </si>
  <si>
    <t xml:space="preserve">Recover Binary Search Tree</t>
  </si>
  <si>
    <t xml:space="preserve">https://leetcode.com/problems/recover-binary-search-tree/</t>
  </si>
  <si>
    <t xml:space="preserve">Construct Binary Tree from Preorder and Inorder Traversal</t>
  </si>
  <si>
    <t xml:space="preserve">https://leetcode.com/problems/construct-binary-tree-from-preorder-and-inorder-traversal/</t>
  </si>
  <si>
    <t xml:space="preserve">Construct Binary Tree from Inorder and Postorder Traversal</t>
  </si>
  <si>
    <t xml:space="preserve">https://leetcode.com/problems/construct-binary-tree-from-inorder-and-postorder-traversal/</t>
  </si>
  <si>
    <t xml:space="preserve">Construct Binary Search Tree from Preorder Traversal</t>
  </si>
  <si>
    <t xml:space="preserve">https://leetcode.com/problems/construct-binary-search-tree-from-preorder-traversal/</t>
  </si>
  <si>
    <t xml:space="preserve">Maximum Binary Tree</t>
  </si>
  <si>
    <t xml:space="preserve">https://leetcode.com/problems/maximum-binary-tree/</t>
  </si>
  <si>
    <t xml:space="preserve">Flatten Binary Tree to Linked List</t>
  </si>
  <si>
    <t xml:space="preserve">https://leetcode.com/problems/flatten-binary-tree-to-linked-list/</t>
  </si>
  <si>
    <t xml:space="preserve">Serialize and Deserialize BST</t>
  </si>
  <si>
    <t xml:space="preserve">https://leetcode.com/problems/serialize-and-deserialize-bst/</t>
  </si>
  <si>
    <t xml:space="preserve">Serialize and Deserialize Binary Tree</t>
  </si>
  <si>
    <t xml:space="preserve">https://leetcode.com/problems/serialize-and-deserialize-binary-tree/</t>
  </si>
  <si>
    <t xml:space="preserve">Kth Largest Element in a Stream</t>
  </si>
  <si>
    <t xml:space="preserve">https://leetcode.com/problems/kth-largest-element-in-a-stream/</t>
  </si>
  <si>
    <t xml:space="preserve">Last Stone Weight</t>
  </si>
  <si>
    <t xml:space="preserve">https://leetcode.com/problems/last-stone-weight/</t>
  </si>
  <si>
    <t xml:space="preserve">Kth Largest Element in an Array</t>
  </si>
  <si>
    <t xml:space="preserve">https://leetcode.com/problems/kth-largest-element-in-an-array/</t>
  </si>
  <si>
    <t xml:space="preserve">Top K Frequent Elements</t>
  </si>
  <si>
    <t xml:space="preserve">https://leetcode.com/problems/top-k-frequent-elements/</t>
  </si>
  <si>
    <t xml:space="preserve">K Closest Points to Origin</t>
  </si>
  <si>
    <t xml:space="preserve">https://leetcode.com/problems/k-closest-points-to-origin/</t>
  </si>
  <si>
    <t xml:space="preserve">Top K Frequent Words</t>
  </si>
  <si>
    <t xml:space="preserve">https://leetcode.com/problems/top-k-frequent-words/</t>
  </si>
  <si>
    <t xml:space="preserve">Find K Pairs with Smallest Sums</t>
  </si>
  <si>
    <t xml:space="preserve">https://leetcode.com/problems/find-k-pairs-with-smallest-sums/</t>
  </si>
  <si>
    <t xml:space="preserve">Merge k Sorted Lists</t>
  </si>
  <si>
    <t xml:space="preserve">https://leetcode.com/problems/merge-k-sorted-lists/</t>
  </si>
  <si>
    <t xml:space="preserve">Smallest Range Covering Elements from K Lists</t>
  </si>
  <si>
    <t xml:space="preserve">https://leetcode.com/problems/smallest-range-covering-elements-from-k-lists/</t>
  </si>
  <si>
    <t xml:space="preserve">Find Median from Data Stream</t>
  </si>
  <si>
    <t xml:space="preserve">https://leetcode.com/problems/find-median-from-data-stream/</t>
  </si>
  <si>
    <t xml:space="preserve">Sliding Window Median</t>
  </si>
  <si>
    <t xml:space="preserve">https://leetcode.com/problems/sliding-window-median/</t>
  </si>
  <si>
    <t xml:space="preserve">IPO</t>
  </si>
  <si>
    <t xml:space="preserve">https://leetcode.com/problems/ipo/</t>
  </si>
  <si>
    <t xml:space="preserve">Task Scheduler</t>
  </si>
  <si>
    <t xml:space="preserve">https://leetcode.com/problems/task-scheduler/</t>
  </si>
  <si>
    <t xml:space="preserve">Reorganize String</t>
  </si>
  <si>
    <t xml:space="preserve">https://leetcode.com/problems/reorganize-string/</t>
  </si>
  <si>
    <t xml:space="preserve">Furthest Building You Can Reach</t>
  </si>
  <si>
    <t xml:space="preserve">https://leetcode.com/problems/furthest-building-you-can-reach/</t>
  </si>
  <si>
    <t xml:space="preserve">Single-Threaded CPU</t>
  </si>
  <si>
    <t xml:space="preserve">https://leetcode.com/problems/single-threaded-cpu/</t>
  </si>
  <si>
    <t xml:space="preserve">Maximum Subsequence Score</t>
  </si>
  <si>
    <t xml:space="preserve">https://leetcode.com/problems/maximum-subsequence-score/</t>
  </si>
  <si>
    <t xml:space="preserve">Minimum Number of Refueling Stops</t>
  </si>
  <si>
    <t xml:space="preserve">https://leetcode.com/problems/minimum-number-of-refueling-stops/</t>
  </si>
  <si>
    <t xml:space="preserve">Minimum Cost to Hire K Workers</t>
  </si>
  <si>
    <t xml:space="preserve">https://leetcode.com/problems/minimum-cost-to-hire-k-workers/</t>
  </si>
  <si>
    <t xml:space="preserve">Fibonacci Number</t>
  </si>
  <si>
    <t xml:space="preserve">https://leetcode.com/problems/fibonacci-number/</t>
  </si>
  <si>
    <t xml:space="preserve">Pow(x, n)</t>
  </si>
  <si>
    <t xml:space="preserve">https://leetcode.com/problems/powx-n/</t>
  </si>
  <si>
    <t xml:space="preserve">K-th Symbol in Grammar</t>
  </si>
  <si>
    <t xml:space="preserve">https://leetcode.com/problems/k-th-symbol-in-grammar/</t>
  </si>
  <si>
    <t xml:space="preserve">Find the Winner of the Circular Game</t>
  </si>
  <si>
    <t xml:space="preserve">https://leetcode.com/problems/find-the-winner-of-the-circular-game/</t>
  </si>
  <si>
    <t xml:space="preserve">Different Ways to Add Parentheses</t>
  </si>
  <si>
    <t xml:space="preserve">https://leetcode.com/problems/different-ways-to-add-parentheses/</t>
  </si>
  <si>
    <t xml:space="preserve">Subsets</t>
  </si>
  <si>
    <t xml:space="preserve">https://leetcode.com/problems/subsets/</t>
  </si>
  <si>
    <t xml:space="preserve">Subsets II</t>
  </si>
  <si>
    <t xml:space="preserve">https://leetcode.com/problems/subsets-ii/</t>
  </si>
  <si>
    <t xml:space="preserve">Letter Case Permutation</t>
  </si>
  <si>
    <t xml:space="preserve">https://leetcode.com/problems/letter-case-permutation/</t>
  </si>
  <si>
    <t xml:space="preserve">https://leetcode.com/problems/permutations/</t>
  </si>
  <si>
    <t xml:space="preserve">Permutations II</t>
  </si>
  <si>
    <t xml:space="preserve">https://leetcode.com/problems/permutations-ii/</t>
  </si>
  <si>
    <t xml:space="preserve">Permutation Sequence</t>
  </si>
  <si>
    <t xml:space="preserve">https://leetcode.com/problems/permutation-sequence/</t>
  </si>
  <si>
    <t xml:space="preserve">Combinations</t>
  </si>
  <si>
    <t xml:space="preserve">https://leetcode.com/problems/combinations/</t>
  </si>
  <si>
    <t xml:space="preserve">Combination Sum</t>
  </si>
  <si>
    <t xml:space="preserve">https://leetcode.com/problems/combination-sum/</t>
  </si>
  <si>
    <t xml:space="preserve">Combination Sum II</t>
  </si>
  <si>
    <t xml:space="preserve">https://leetcode.com/problems/combination-sum-ii/</t>
  </si>
  <si>
    <t xml:space="preserve">Combination Sum III</t>
  </si>
  <si>
    <t xml:space="preserve">https://leetcode.com/problems/combination-sum-iii/</t>
  </si>
  <si>
    <t xml:space="preserve">Letter Combinations of a Phone Number</t>
  </si>
  <si>
    <t xml:space="preserve">https://leetcode.com/problems/letter-combinations-of-a-phone-number/</t>
  </si>
  <si>
    <t xml:space="preserve">Palindrome Partitioning</t>
  </si>
  <si>
    <t xml:space="preserve">https://leetcode.com/problems/palindrome-partitioning/</t>
  </si>
  <si>
    <t xml:space="preserve">Restore IP Addresses</t>
  </si>
  <si>
    <t xml:space="preserve">https://leetcode.com/problems/restore-ip-addresses/</t>
  </si>
  <si>
    <t xml:space="preserve">Partition to K Equal Sum Subsets</t>
  </si>
  <si>
    <t xml:space="preserve">https://leetcode.com/problems/partition-to-k-equal-sum-subsets/</t>
  </si>
  <si>
    <t xml:space="preserve">Expression Add Operators</t>
  </si>
  <si>
    <t xml:space="preserve">https://leetcode.com/problems/expression-add-operators/</t>
  </si>
  <si>
    <t xml:space="preserve">Generate Parentheses</t>
  </si>
  <si>
    <t xml:space="preserve">https://leetcode.com/problems/generate-parentheses/</t>
  </si>
  <si>
    <t xml:space="preserve">Gray Code</t>
  </si>
  <si>
    <t xml:space="preserve">https://leetcode.com/problems/gray-code/</t>
  </si>
  <si>
    <t xml:space="preserve">Remove Invalid Parentheses</t>
  </si>
  <si>
    <t xml:space="preserve">https://leetcode.com/problems/remove-invalid-parentheses/</t>
  </si>
  <si>
    <t xml:space="preserve">Word Search</t>
  </si>
  <si>
    <t xml:space="preserve">https://leetcode.com/problems/word-search/</t>
  </si>
  <si>
    <t xml:space="preserve">N-Queens</t>
  </si>
  <si>
    <t xml:space="preserve">https://leetcode.com/problems/n-queens/</t>
  </si>
  <si>
    <t xml:space="preserve">N-Queens II</t>
  </si>
  <si>
    <t xml:space="preserve">https://leetcode.com/problems/n-queens-ii/</t>
  </si>
  <si>
    <t xml:space="preserve">Sudoku Solver</t>
  </si>
  <si>
    <t xml:space="preserve">https://leetcode.com/problems/sudoku-solver/</t>
  </si>
  <si>
    <t xml:space="preserve">Implement Trie (Prefix Tree)</t>
  </si>
  <si>
    <t xml:space="preserve">https://leetcode.com/problems/implement-trie-prefix-tree/</t>
  </si>
  <si>
    <t xml:space="preserve">Search Suggestions System</t>
  </si>
  <si>
    <t xml:space="preserve">https://leetcode.com/problems/search-suggestions-system/</t>
  </si>
  <si>
    <t xml:space="preserve">Replace Words</t>
  </si>
  <si>
    <t xml:space="preserve">https://leetcode.com/problems/replace-words/</t>
  </si>
  <si>
    <t xml:space="preserve">Longest Word in Dictionary</t>
  </si>
  <si>
    <t xml:space="preserve">https://leetcode.com/problems/longest-word-in-dictionary/</t>
  </si>
  <si>
    <t xml:space="preserve">Design Add and Search Words Data Structure</t>
  </si>
  <si>
    <t xml:space="preserve">https://leetcode.com/problems/design-add-and-search-words-data-structure/</t>
  </si>
  <si>
    <t xml:space="preserve">Implement Magic Dictionary</t>
  </si>
  <si>
    <t xml:space="preserve">https://leetcode.com/problems/implement-magic-dictionary/</t>
  </si>
  <si>
    <t xml:space="preserve">Word Search II</t>
  </si>
  <si>
    <t xml:space="preserve">https://leetcode.com/problems/word-search-ii/</t>
  </si>
  <si>
    <t xml:space="preserve">Concatenated Words</t>
  </si>
  <si>
    <t xml:space="preserve">https://leetcode.com/problems/concatenated-words/</t>
  </si>
  <si>
    <t xml:space="preserve">Maximum XOR of Two Numbers in an Array</t>
  </si>
  <si>
    <t xml:space="preserve">https://leetcode.com/problems/maximum-xor-of-two-numbers-in-an-array/</t>
  </si>
  <si>
    <t xml:space="preserve">Maximum XOR With an Element From Array</t>
  </si>
  <si>
    <t xml:space="preserve">https://leetcode.com/problems/maximum-xor-with-an-element-from-array/</t>
  </si>
  <si>
    <t xml:space="preserve">Flood Fill</t>
  </si>
  <si>
    <t xml:space="preserve">https://leetcode.com/problems/flood-fill/</t>
  </si>
  <si>
    <t xml:space="preserve">Island Perimeter</t>
  </si>
  <si>
    <t xml:space="preserve">https://leetcode.com/problems/island-perimeter/</t>
  </si>
  <si>
    <t xml:space="preserve">Number of Islands</t>
  </si>
  <si>
    <t xml:space="preserve">https://leetcode.com/problems/number-of-islands/</t>
  </si>
  <si>
    <t xml:space="preserve">Max Area of Island</t>
  </si>
  <si>
    <t xml:space="preserve">https://leetcode.com/problems/max-area-of-island/</t>
  </si>
  <si>
    <t xml:space="preserve">Number of Distinct Islands</t>
  </si>
  <si>
    <t xml:space="preserve">https://leetcode.com/problems/number-of-distinct-islands/</t>
  </si>
  <si>
    <t xml:space="preserve">Surrounded Regions</t>
  </si>
  <si>
    <t xml:space="preserve">https://leetcode.com/problems/surrounded-regions/</t>
  </si>
  <si>
    <t xml:space="preserve">Pacific Atlantic Water Flow</t>
  </si>
  <si>
    <t xml:space="preserve">https://leetcode.com/problems/pacific-atlantic-water-flow/</t>
  </si>
  <si>
    <t xml:space="preserve">Number of Enclaves</t>
  </si>
  <si>
    <t xml:space="preserve">https://leetcode.com/problems/number-of-enclaves/</t>
  </si>
  <si>
    <t xml:space="preserve">Number of Closed Islands</t>
  </si>
  <si>
    <t xml:space="preserve">https://leetcode.com/problems/number-of-closed-islands/</t>
  </si>
  <si>
    <t xml:space="preserve">Rotting Oranges</t>
  </si>
  <si>
    <t xml:space="preserve">https://leetcode.com/problems/rotting-oranges/</t>
  </si>
  <si>
    <t xml:space="preserve">01 Matrix</t>
  </si>
  <si>
    <t xml:space="preserve">https://leetcode.com/problems/01-matrix/</t>
  </si>
  <si>
    <t xml:space="preserve">Walls and Gates</t>
  </si>
  <si>
    <t xml:space="preserve">https://leetcode.com/problems/walls-and-gates/</t>
  </si>
  <si>
    <t xml:space="preserve">As Far from Land as Possible</t>
  </si>
  <si>
    <t xml:space="preserve">https://leetcode.com/problems/as-far-from-land-as-possible/</t>
  </si>
  <si>
    <t xml:space="preserve">Map of Highest Peak</t>
  </si>
  <si>
    <t xml:space="preserve">https://leetcode.com/problems/map-of-highest-peak/</t>
  </si>
  <si>
    <t xml:space="preserve">Find if Path Exists in Graph</t>
  </si>
  <si>
    <t xml:space="preserve">https://leetcode.com/problems/find-if-path-exists-in-graph/</t>
  </si>
  <si>
    <t xml:space="preserve">Find the Town Judge</t>
  </si>
  <si>
    <t xml:space="preserve">https://leetcode.com/problems/find-the-town-judge/</t>
  </si>
  <si>
    <t xml:space="preserve">Clone Graph</t>
  </si>
  <si>
    <t xml:space="preserve">https://leetcode.com/problems/clone-graph/</t>
  </si>
  <si>
    <t xml:space="preserve">Number of Provinces</t>
  </si>
  <si>
    <t xml:space="preserve">https://leetcode.com/problems/number-of-provinces/</t>
  </si>
  <si>
    <t xml:space="preserve">Keys and Rooms</t>
  </si>
  <si>
    <t xml:space="preserve">https://leetcode.com/problems/keys-and-rooms/</t>
  </si>
  <si>
    <t xml:space="preserve">Number of Connected Components in an Undirected Graph</t>
  </si>
  <si>
    <t xml:space="preserve">https://leetcode.com/problems/number-of-connected-components-in-an-undirected-graph/</t>
  </si>
  <si>
    <t xml:space="preserve">Reorder Routes to Make All Paths Lead to the City Zero</t>
  </si>
  <si>
    <t xml:space="preserve">https://leetcode.com/problems/reorder-routes-to-make-all-paths-lead-to-the-city-zero/</t>
  </si>
  <si>
    <t xml:space="preserve">Evaluate Division</t>
  </si>
  <si>
    <t xml:space="preserve">https://leetcode.com/problems/evaluate-division/</t>
  </si>
  <si>
    <t xml:space="preserve">Shortest Path in Binary Matrix</t>
  </si>
  <si>
    <t xml:space="preserve">https://leetcode.com/problems/shortest-path-in-binary-matrix/</t>
  </si>
  <si>
    <t xml:space="preserve">Nearest Exit from Entrance in Maze</t>
  </si>
  <si>
    <t xml:space="preserve">https://leetcode.com/problems/nearest-exit-from-entrance-in-maze/</t>
  </si>
  <si>
    <t xml:space="preserve">Open the Lock</t>
  </si>
  <si>
    <t xml:space="preserve">https://leetcode.com/problems/open-the-lock/</t>
  </si>
  <si>
    <t xml:space="preserve">Minimum Genetic Mutation</t>
  </si>
  <si>
    <t xml:space="preserve">https://leetcode.com/problems/minimum-genetic-mutation/</t>
  </si>
  <si>
    <t xml:space="preserve">Snakes and Ladders</t>
  </si>
  <si>
    <t xml:space="preserve">https://leetcode.com/problems/snakes-and-ladders/</t>
  </si>
  <si>
    <t xml:space="preserve">Word Ladder</t>
  </si>
  <si>
    <t xml:space="preserve">https://leetcode.com/problems/word-ladder/</t>
  </si>
  <si>
    <t xml:space="preserve">Bus Routes</t>
  </si>
  <si>
    <t xml:space="preserve">https://leetcode.com/problems/bus-routes/</t>
  </si>
  <si>
    <t xml:space="preserve">Graph Valid Tree</t>
  </si>
  <si>
    <t xml:space="preserve">https://leetcode.com/problems/graph-valid-tree/</t>
  </si>
  <si>
    <t xml:space="preserve">Find Eventual Safe States</t>
  </si>
  <si>
    <t xml:space="preserve">https://leetcode.com/problems/find-eventual-safe-states/</t>
  </si>
  <si>
    <t xml:space="preserve">Is Graph Bipartite?</t>
  </si>
  <si>
    <t xml:space="preserve">https://leetcode.com/problems/is-graph-bipartite/</t>
  </si>
  <si>
    <t xml:space="preserve">Possible Bipartition</t>
  </si>
  <si>
    <t xml:space="preserve">https://leetcode.com/problems/possible-bipartition/</t>
  </si>
  <si>
    <t xml:space="preserve">Course Schedule</t>
  </si>
  <si>
    <t xml:space="preserve">https://leetcode.com/problems/course-schedule/</t>
  </si>
  <si>
    <t xml:space="preserve">Course Schedule II</t>
  </si>
  <si>
    <t xml:space="preserve">https://leetcode.com/problems/course-schedule-ii/</t>
  </si>
  <si>
    <t xml:space="preserve">Minimum Height Trees</t>
  </si>
  <si>
    <t xml:space="preserve">https://leetcode.com/problems/minimum-height-trees/</t>
  </si>
  <si>
    <t xml:space="preserve">Find All Possible Recipes from Given Supplies</t>
  </si>
  <si>
    <t xml:space="preserve">https://leetcode.com/problems/find-all-possible-recipes-from-given-supplies/</t>
  </si>
  <si>
    <t xml:space="preserve">Alien Dictionary</t>
  </si>
  <si>
    <t xml:space="preserve">https://leetcode.com/problems/alien-dictionary/</t>
  </si>
  <si>
    <t xml:space="preserve">Redundant Connection</t>
  </si>
  <si>
    <t xml:space="preserve">https://leetcode.com/problems/redundant-connection/</t>
  </si>
  <si>
    <t xml:space="preserve">Accounts Merge</t>
  </si>
  <si>
    <t xml:space="preserve">https://leetcode.com/problems/accounts-merge/</t>
  </si>
  <si>
    <t xml:space="preserve">Number of Operations to Make Network Connected</t>
  </si>
  <si>
    <t xml:space="preserve">https://leetcode.com/problems/number-of-operations-to-make-network-connected/</t>
  </si>
  <si>
    <t xml:space="preserve">Satisfiability of Equality Equations</t>
  </si>
  <si>
    <t xml:space="preserve">https://leetcode.com/problems/satisfiability-of-equality-equations/</t>
  </si>
  <si>
    <t xml:space="preserve">Most Stones Removed with Same Row or Column</t>
  </si>
  <si>
    <t xml:space="preserve">https://leetcode.com/problems/most-stones-removed-with-same-row-or-column/</t>
  </si>
  <si>
    <t xml:space="preserve">Remove Max Number of Edges to Keep Graph Fully Traversable</t>
  </si>
  <si>
    <t xml:space="preserve">https://leetcode.com/problems/remove-max-number-of-edges-to-keep-graph-fully-traversable/</t>
  </si>
  <si>
    <t xml:space="preserve">Network Delay Time</t>
  </si>
  <si>
    <t xml:space="preserve">https://leetcode.com/problems/network-delay-time/</t>
  </si>
  <si>
    <t xml:space="preserve">Path with Maximum Probability</t>
  </si>
  <si>
    <t xml:space="preserve">https://leetcode.com/problems/path-with-maximum-probability/</t>
  </si>
  <si>
    <t xml:space="preserve">Path With Minimum Effort</t>
  </si>
  <si>
    <t xml:space="preserve">https://leetcode.com/problems/path-with-minimum-effort/</t>
  </si>
  <si>
    <t xml:space="preserve">Number of Ways to Arrive at Destination</t>
  </si>
  <si>
    <t xml:space="preserve">https://leetcode.com/problems/number-of-ways-to-arrive-at-destination/</t>
  </si>
  <si>
    <t xml:space="preserve">Swim in Rising Water</t>
  </si>
  <si>
    <t xml:space="preserve">https://leetcode.com/problems/swim-in-rising-water/</t>
  </si>
  <si>
    <t xml:space="preserve">Cheapest Flights Within K Stops</t>
  </si>
  <si>
    <t xml:space="preserve">https://leetcode.com/problems/cheapest-flights-within-k-stops/</t>
  </si>
  <si>
    <t xml:space="preserve">Minimum Obstacle Removal to Reach Corner</t>
  </si>
  <si>
    <t xml:space="preserve">https://leetcode.com/problems/minimum-obstacle-removal-to-reach-corner/</t>
  </si>
  <si>
    <t xml:space="preserve">Find the City With the Smallest Number of Neighbors at a Threshold Distance</t>
  </si>
  <si>
    <t xml:space="preserve">https://leetcode.com/problems/find-the-city-with-the-smallest-number-of-neighbors-at-a-threshold-distance/</t>
  </si>
  <si>
    <t xml:space="preserve">Min Cost to Connect All Points</t>
  </si>
  <si>
    <t xml:space="preserve">https://leetcode.com/problems/min-cost-to-connect-all-points/</t>
  </si>
  <si>
    <t xml:space="preserve">Find Critical and Pseudo-Critical Edges in Minimum Spanning Tree</t>
  </si>
  <si>
    <t xml:space="preserve">https://leetcode.com/problems/find-critical-and-pseudo-critical-edges-in-minimum-spanning-tree/</t>
  </si>
  <si>
    <t xml:space="preserve">Reconstruct Itinerary</t>
  </si>
  <si>
    <t xml:space="preserve">https://leetcode.com/problems/reconstruct-itinerary/</t>
  </si>
  <si>
    <t xml:space="preserve">Cracking the Safe</t>
  </si>
  <si>
    <t xml:space="preserve">https://leetcode.com/problems/cracking-the-safe/</t>
  </si>
  <si>
    <t xml:space="preserve">Critical Connections in a Network</t>
  </si>
  <si>
    <t xml:space="preserve">https://leetcode.com/problems/critical-connections-in-a-network/</t>
  </si>
  <si>
    <t xml:space="preserve">Jump Game</t>
  </si>
  <si>
    <t xml:space="preserve">https://leetcode.com/problems/jump-game/</t>
  </si>
  <si>
    <t xml:space="preserve">Jump Game II</t>
  </si>
  <si>
    <t xml:space="preserve">https://leetcode.com/problems/jump-game-ii/</t>
  </si>
  <si>
    <t xml:space="preserve">Jump Game III</t>
  </si>
  <si>
    <t xml:space="preserve">https://leetcode.com/problems/jump-game-iii/</t>
  </si>
  <si>
    <t xml:space="preserve">Assign Cookies</t>
  </si>
  <si>
    <t xml:space="preserve">https://leetcode.com/problems/assign-cookies/</t>
  </si>
  <si>
    <t xml:space="preserve">Two City Scheduling</t>
  </si>
  <si>
    <t xml:space="preserve">https://leetcode.com/problems/two-city-scheduling/</t>
  </si>
  <si>
    <t xml:space="preserve">Hand of Straights</t>
  </si>
  <si>
    <t xml:space="preserve">https://leetcode.com/problems/hand-of-straights/</t>
  </si>
  <si>
    <t xml:space="preserve">Merge Triplets to Form Target Triplet</t>
  </si>
  <si>
    <t xml:space="preserve">https://leetcode.com/problems/merge-triplets-to-form-target-triplet/</t>
  </si>
  <si>
    <t xml:space="preserve">Partition Labels</t>
  </si>
  <si>
    <t xml:space="preserve">https://leetcode.com/problems/partition-labels/</t>
  </si>
  <si>
    <t xml:space="preserve">Lemonade Change</t>
  </si>
  <si>
    <t xml:space="preserve">https://leetcode.com/problems/lemonade-change/</t>
  </si>
  <si>
    <t xml:space="preserve">Can Place Flowers</t>
  </si>
  <si>
    <t xml:space="preserve">https://leetcode.com/problems/can-place-flowers/</t>
  </si>
  <si>
    <t xml:space="preserve">Gas Station</t>
  </si>
  <si>
    <t xml:space="preserve">https://leetcode.com/problems/gas-station/</t>
  </si>
  <si>
    <t xml:space="preserve">Increasing Triplet Subsequence</t>
  </si>
  <si>
    <t xml:space="preserve">https://leetcode.com/problems/increasing-triplet-subsequence/</t>
  </si>
  <si>
    <t xml:space="preserve">Valid Parenthesis String</t>
  </si>
  <si>
    <t xml:space="preserve">https://leetcode.com/problems/valid-parenthesis-string/</t>
  </si>
  <si>
    <t xml:space="preserve">Candy</t>
  </si>
  <si>
    <t xml:space="preserve">https://leetcode.com/problems/candy/</t>
  </si>
  <si>
    <t xml:space="preserve">Patching Array</t>
  </si>
  <si>
    <t xml:space="preserve">https://leetcode.com/problems/patching-array/</t>
  </si>
  <si>
    <t xml:space="preserve">Single Number</t>
  </si>
  <si>
    <t xml:space="preserve">https://leetcode.com/problems/single-number/</t>
  </si>
  <si>
    <t xml:space="preserve">Missing Number</t>
  </si>
  <si>
    <t xml:space="preserve">https://leetcode.com/problems/missing-number/</t>
  </si>
  <si>
    <t xml:space="preserve">Single Number II</t>
  </si>
  <si>
    <t xml:space="preserve">https://leetcode.com/problems/single-number-ii/</t>
  </si>
  <si>
    <t xml:space="preserve">Single Number III</t>
  </si>
  <si>
    <t xml:space="preserve">https://leetcode.com/problems/single-number-iii/</t>
  </si>
  <si>
    <t xml:space="preserve">XOR Queries of a Subarray</t>
  </si>
  <si>
    <t xml:space="preserve">https://leetcode.com/problems/xor-queries-of-a-subarray/</t>
  </si>
  <si>
    <t xml:space="preserve">Number of 1 Bits</t>
  </si>
  <si>
    <t xml:space="preserve">https://leetcode.com/problems/number-of-1-bits/</t>
  </si>
  <si>
    <t xml:space="preserve">Counting Bits</t>
  </si>
  <si>
    <t xml:space="preserve">https://leetcode.com/problems/counting-bits/</t>
  </si>
  <si>
    <t xml:space="preserve">Reverse Bits</t>
  </si>
  <si>
    <t xml:space="preserve">https://leetcode.com/problems/reverse-bits/</t>
  </si>
  <si>
    <t xml:space="preserve">Power of Two</t>
  </si>
  <si>
    <t xml:space="preserve">https://leetcode.com/problems/power-of-two/</t>
  </si>
  <si>
    <t xml:space="preserve">Hamming Distance</t>
  </si>
  <si>
    <t xml:space="preserve">https://leetcode.com/problems/hamming-distance/</t>
  </si>
  <si>
    <t xml:space="preserve">Minimum Flips to Make a OR b Equal to c</t>
  </si>
  <si>
    <t xml:space="preserve">https://leetcode.com/problems/minimum-flips-to-make-a-or-b-equal-to-c/</t>
  </si>
  <si>
    <t xml:space="preserve">Sum of Two Integers</t>
  </si>
  <si>
    <t xml:space="preserve">https://leetcode.com/problems/sum-of-two-integers/</t>
  </si>
  <si>
    <t xml:space="preserve">Reverse Integer</t>
  </si>
  <si>
    <t xml:space="preserve">https://leetcode.com/problems/reverse-integer/</t>
  </si>
  <si>
    <t xml:space="preserve">Divide Two Integers</t>
  </si>
  <si>
    <t xml:space="preserve">https://leetcode.com/problems/divide-two-integers/</t>
  </si>
  <si>
    <t xml:space="preserve">Bitwise AND of Numbers Range</t>
  </si>
  <si>
    <t xml:space="preserve">https://leetcode.com/problems/bitwise-and-of-numbers-range/</t>
  </si>
  <si>
    <t xml:space="preserve">Climbing Stairs</t>
  </si>
  <si>
    <t xml:space="preserve">https://leetcode.com/problems/climbing-stairs/</t>
  </si>
  <si>
    <t xml:space="preserve">Min Cost Climbing Stairs</t>
  </si>
  <si>
    <t xml:space="preserve">https://leetcode.com/problems/min-cost-climbing-stairs/</t>
  </si>
  <si>
    <t xml:space="preserve">N-th Tribonacci Number</t>
  </si>
  <si>
    <t xml:space="preserve">https://leetcode.com/problems/n-th-tribonacci-number/</t>
  </si>
  <si>
    <t xml:space="preserve">House Robber</t>
  </si>
  <si>
    <t xml:space="preserve">https://leetcode.com/problems/house-robber/</t>
  </si>
  <si>
    <t xml:space="preserve">House Robber II</t>
  </si>
  <si>
    <t xml:space="preserve">https://leetcode.com/problems/house-robber-ii/</t>
  </si>
  <si>
    <t xml:space="preserve">Delete and Earn</t>
  </si>
  <si>
    <t xml:space="preserve">https://leetcode.com/problems/delete-and-earn/</t>
  </si>
  <si>
    <t xml:space="preserve">Domino and Tromino Tiling</t>
  </si>
  <si>
    <t xml:space="preserve">https://leetcode.com/problems/domino-and-tromino-tiling/</t>
  </si>
  <si>
    <t xml:space="preserve">Solving Questions With Brainpower</t>
  </si>
  <si>
    <t xml:space="preserve">https://leetcode.com/problems/solving-questions-with-brainpower/</t>
  </si>
  <si>
    <t xml:space="preserve">Decode Ways</t>
  </si>
  <si>
    <t xml:space="preserve">https://leetcode.com/problems/decode-ways/</t>
  </si>
  <si>
    <t xml:space="preserve">Word Break</t>
  </si>
  <si>
    <t xml:space="preserve">https://leetcode.com/problems/word-break/</t>
  </si>
  <si>
    <t xml:space="preserve">Combination Sum IV</t>
  </si>
  <si>
    <t xml:space="preserve">https://leetcode.com/problems/combination-sum-iv/</t>
  </si>
  <si>
    <t xml:space="preserve">Word Break II</t>
  </si>
  <si>
    <t xml:space="preserve">https://leetcode.com/problems/word-break-ii/</t>
  </si>
  <si>
    <t xml:space="preserve">Unique Paths</t>
  </si>
  <si>
    <t xml:space="preserve">https://leetcode.com/problems/unique-paths/</t>
  </si>
  <si>
    <t xml:space="preserve">Unique Paths II</t>
  </si>
  <si>
    <t xml:space="preserve">https://leetcode.com/problems/unique-paths-ii/</t>
  </si>
  <si>
    <t xml:space="preserve">Minimum Path Sum</t>
  </si>
  <si>
    <t xml:space="preserve">https://leetcode.com/problems/minimum-path-sum/</t>
  </si>
  <si>
    <t xml:space="preserve">Triangle</t>
  </si>
  <si>
    <t xml:space="preserve">https://leetcode.com/problems/triangle/</t>
  </si>
  <si>
    <t xml:space="preserve">Minimum Falling Path Sum</t>
  </si>
  <si>
    <t xml:space="preserve">https://leetcode.com/problems/minimum-falling-path-sum/</t>
  </si>
  <si>
    <t xml:space="preserve">Maximal Square</t>
  </si>
  <si>
    <t xml:space="preserve">https://leetcode.com/problems/maximal-square/</t>
  </si>
  <si>
    <t xml:space="preserve">Dungeon Game</t>
  </si>
  <si>
    <t xml:space="preserve">https://leetcode.com/problems/dungeon-game/</t>
  </si>
  <si>
    <t xml:space="preserve">Cherry Pickup II</t>
  </si>
  <si>
    <t xml:space="preserve">https://leetcode.com/problems/cherry-pickup-ii/</t>
  </si>
  <si>
    <t xml:space="preserve">Cherry Pickup</t>
  </si>
  <si>
    <t xml:space="preserve">https://leetcode.com/problems/cherry-pickup/</t>
  </si>
  <si>
    <t xml:space="preserve">Out of Boundary Paths</t>
  </si>
  <si>
    <t xml:space="preserve">https://leetcode.com/problems/out-of-boundary-paths/</t>
  </si>
  <si>
    <t xml:space="preserve">Knight Probability in Chessboard</t>
  </si>
  <si>
    <t xml:space="preserve">https://leetcode.com/problems/knight-probability-in-chessboard/</t>
  </si>
  <si>
    <t xml:space="preserve">Longest Increasing Path in a Matrix</t>
  </si>
  <si>
    <t xml:space="preserve">https://leetcode.com/problems/longest-increasing-path-in-a-matrix/</t>
  </si>
  <si>
    <t xml:space="preserve">Partition Equal Subset Sum</t>
  </si>
  <si>
    <t xml:space="preserve">https://leetcode.com/problems/partition-equal-subset-sum/</t>
  </si>
  <si>
    <t xml:space="preserve">Target Sum</t>
  </si>
  <si>
    <t xml:space="preserve">https://leetcode.com/problems/target-sum/</t>
  </si>
  <si>
    <t xml:space="preserve">Last Stone Weight II</t>
  </si>
  <si>
    <t xml:space="preserve">https://leetcode.com/problems/last-stone-weight-ii/</t>
  </si>
  <si>
    <t xml:space="preserve">Ones and Zeroes</t>
  </si>
  <si>
    <t xml:space="preserve">https://leetcode.com/problems/ones-and-zeroes/</t>
  </si>
  <si>
    <t xml:space="preserve">Partition Array Into Two Arrays to Minimize Sum Difference</t>
  </si>
  <si>
    <t xml:space="preserve">https://leetcode.com/problems/partition-array-into-two-arrays-to-minimize-sum-difference/</t>
  </si>
  <si>
    <t xml:space="preserve">Coin Change</t>
  </si>
  <si>
    <t xml:space="preserve">https://leetcode.com/problems/coin-change/</t>
  </si>
  <si>
    <t xml:space="preserve">Coin Change II</t>
  </si>
  <si>
    <t xml:space="preserve">https://leetcode.com/problems/coin-change-ii/</t>
  </si>
  <si>
    <t xml:space="preserve">Perfect Squares</t>
  </si>
  <si>
    <t xml:space="preserve">https://leetcode.com/problems/perfect-squares/</t>
  </si>
  <si>
    <t xml:space="preserve">Minimum Cost For Tickets</t>
  </si>
  <si>
    <t xml:space="preserve">https://leetcode.com/problems/minimum-cost-for-tickets/</t>
  </si>
  <si>
    <t xml:space="preserve">Longest Increasing Subsequence</t>
  </si>
  <si>
    <t xml:space="preserve">https://leetcode.com/problems/longest-increasing-subsequence/</t>
  </si>
  <si>
    <t xml:space="preserve">Number of Longest Increasing Subsequence</t>
  </si>
  <si>
    <t xml:space="preserve">https://leetcode.com/problems/number-of-longest-increasing-subsequence/</t>
  </si>
  <si>
    <t xml:space="preserve">Largest Divisible Subset</t>
  </si>
  <si>
    <t xml:space="preserve">https://leetcode.com/problems/largest-divisible-subset/</t>
  </si>
  <si>
    <t xml:space="preserve">Maximum Length of Pair Chain</t>
  </si>
  <si>
    <t xml:space="preserve">https://leetcode.com/problems/maximum-length-of-pair-chain/</t>
  </si>
  <si>
    <t xml:space="preserve">Russian Doll Envelopes</t>
  </si>
  <si>
    <t xml:space="preserve">https://leetcode.com/problems/russian-doll-envelopes/</t>
  </si>
  <si>
    <t xml:space="preserve">Longest Common Subsequence</t>
  </si>
  <si>
    <t xml:space="preserve">https://leetcode.com/problems/longest-common-subsequence/</t>
  </si>
  <si>
    <t xml:space="preserve">Delete Operation for Two Strings</t>
  </si>
  <si>
    <t xml:space="preserve">https://leetcode.com/problems/delete-operation-for-two-strings/</t>
  </si>
  <si>
    <t xml:space="preserve">Minimum ASCII Delete Sum for Two Strings</t>
  </si>
  <si>
    <t xml:space="preserve">https://leetcode.com/problems/minimum-ascii-delete-sum-for-two-strings/</t>
  </si>
  <si>
    <t xml:space="preserve">Edit Distance</t>
  </si>
  <si>
    <t xml:space="preserve">https://leetcode.com/problems/edit-distance/</t>
  </si>
  <si>
    <t xml:space="preserve">Interleaving String</t>
  </si>
  <si>
    <t xml:space="preserve">https://leetcode.com/problems/interleaving-string/</t>
  </si>
  <si>
    <t xml:space="preserve">Distinct Subsequences</t>
  </si>
  <si>
    <t xml:space="preserve">https://leetcode.com/problems/distinct-subsequences/</t>
  </si>
  <si>
    <t xml:space="preserve">Shortest Common Supersequence</t>
  </si>
  <si>
    <t xml:space="preserve">https://leetcode.com/problems/shortest-common-supersequence/</t>
  </si>
  <si>
    <t xml:space="preserve">Regular Expression Matching</t>
  </si>
  <si>
    <t xml:space="preserve">https://leetcode.com/problems/regular-expression-matching/</t>
  </si>
  <si>
    <t xml:space="preserve">Wildcard Matching</t>
  </si>
  <si>
    <t xml:space="preserve">https://leetcode.com/problems/wildcard-matching/</t>
  </si>
  <si>
    <t xml:space="preserve">Longest Palindromic Subsequence</t>
  </si>
  <si>
    <t xml:space="preserve">https://leetcode.com/problems/longest-palindromic-subsequence/</t>
  </si>
  <si>
    <t xml:space="preserve">Palindrome Partitioning II</t>
  </si>
  <si>
    <t xml:space="preserve">https://leetcode.com/problems/palindrome-partitioning-ii/</t>
  </si>
  <si>
    <t xml:space="preserve">Minimum Insertion Steps to Make a String Palindrome</t>
  </si>
  <si>
    <t xml:space="preserve">https://leetcode.com/problems/minimum-insertion-steps-to-make-a-string-palindrome/</t>
  </si>
  <si>
    <t xml:space="preserve">Partition Array for Maximum Sum</t>
  </si>
  <si>
    <t xml:space="preserve">https://leetcode.com/problems/partition-array-for-maximum-sum/</t>
  </si>
  <si>
    <t xml:space="preserve">Minimum Score Triangulation of Polygon</t>
  </si>
  <si>
    <t xml:space="preserve">https://leetcode.com/problems/minimum-score-triangulation-of-polygon/</t>
  </si>
  <si>
    <t xml:space="preserve">Guess Number Higher or Lower II</t>
  </si>
  <si>
    <t xml:space="preserve">https://leetcode.com/problems/guess-number-higher-or-lower-ii/</t>
  </si>
  <si>
    <t xml:space="preserve">Burst Balloons</t>
  </si>
  <si>
    <t xml:space="preserve">https://leetcode.com/problems/burst-balloons/</t>
  </si>
  <si>
    <t xml:space="preserve">Minimum Cost to Cut a Stick</t>
  </si>
  <si>
    <t xml:space="preserve">https://leetcode.com/problems/minimum-cost-to-cut-a-stick/</t>
  </si>
  <si>
    <t xml:space="preserve">Predict the Winner</t>
  </si>
  <si>
    <t xml:space="preserve">https://leetcode.com/problems/predict-the-winner/</t>
  </si>
  <si>
    <t xml:space="preserve">Stone Game</t>
  </si>
  <si>
    <t xml:space="preserve">https://leetcode.com/problems/stone-game/</t>
  </si>
  <si>
    <t xml:space="preserve">Best Time to Buy and Sell Stock II</t>
  </si>
  <si>
    <t xml:space="preserve">https://leetcode.com/problems/best-time-to-buy-and-sell-stock-ii/</t>
  </si>
  <si>
    <t xml:space="preserve">Best Time to Buy and Sell Stock with Cooldown</t>
  </si>
  <si>
    <t xml:space="preserve">https://leetcode.com/problems/best-time-to-buy-and-sell-stock-with-cooldown/</t>
  </si>
  <si>
    <t xml:space="preserve">Best Time to Buy and Sell Stock with Transaction Fee</t>
  </si>
  <si>
    <t xml:space="preserve">https://leetcode.com/problems/best-time-to-buy-and-sell-stock-with-transaction-fee/</t>
  </si>
  <si>
    <t xml:space="preserve">Best Time to Buy and Sell Stock III</t>
  </si>
  <si>
    <t xml:space="preserve">https://leetcode.com/problems/best-time-to-buy-and-sell-stock-iii/</t>
  </si>
  <si>
    <t xml:space="preserve">Best Time to Buy and Sell Stock IV</t>
  </si>
  <si>
    <t xml:space="preserve">https://leetcode.com/problems/best-time-to-buy-and-sell-stock-iv/</t>
  </si>
  <si>
    <t xml:space="preserve">Unique Binary Search Trees</t>
  </si>
  <si>
    <t xml:space="preserve">https://leetcode.com/problems/unique-binary-search-trees/</t>
  </si>
  <si>
    <t xml:space="preserve">Unique Binary Search Trees II</t>
  </si>
  <si>
    <t xml:space="preserve">https://leetcode.com/problems/unique-binary-search-trees-ii/</t>
  </si>
  <si>
    <t xml:space="preserve">House Robber III</t>
  </si>
  <si>
    <t xml:space="preserve">https://leetcode.com/problems/house-robber-iii/</t>
  </si>
  <si>
    <t xml:space="preserve">Binary Tree Cameras</t>
  </si>
  <si>
    <t xml:space="preserve">https://leetcode.com/problems/binary-tree-cameras/</t>
  </si>
  <si>
    <t xml:space="preserve">Beautiful Arrangement</t>
  </si>
  <si>
    <t xml:space="preserve">https://leetcode.com/problems/beautiful-arrangement/</t>
  </si>
  <si>
    <t xml:space="preserve">Minimum Number of Work Sessions to Finish the Tasks</t>
  </si>
  <si>
    <t xml:space="preserve">https://leetcode.com/problems/minimum-number-of-work-sessions-to-finish-the-tasks/</t>
  </si>
  <si>
    <t xml:space="preserve">Shortest Path Visiting All Nodes</t>
  </si>
  <si>
    <t xml:space="preserve">https://leetcode.com/problems/shortest-path-visiting-all-nodes/</t>
  </si>
  <si>
    <t xml:space="preserve">Number of Digit One</t>
  </si>
  <si>
    <t xml:space="preserve">https://leetcode.com/problems/number-of-digit-one/</t>
  </si>
  <si>
    <t xml:space="preserve">Numbers At Most N Given Digit Set</t>
  </si>
  <si>
    <t xml:space="preserve">https://leetcode.com/problems/numbers-at-most-n-given-digit-set/</t>
  </si>
  <si>
    <t xml:space="preserve">Sort an Array</t>
  </si>
  <si>
    <t xml:space="preserve">https://leetcode.com/problems/sort-an-array/</t>
  </si>
  <si>
    <t xml:space="preserve">Sort List</t>
  </si>
  <si>
    <t xml:space="preserve">https://leetcode.com/problems/sort-list/</t>
  </si>
  <si>
    <t xml:space="preserve">Reverse Pairs</t>
  </si>
  <si>
    <t xml:space="preserve">https://leetcode.com/problems/reverse-pairs/</t>
  </si>
  <si>
    <t xml:space="preserve">Count of Smaller Numbers After Self</t>
  </si>
  <si>
    <t xml:space="preserve">https://leetcode.com/problems/count-of-smaller-numbers-after-self/</t>
  </si>
  <si>
    <t xml:space="preserve">Wiggle Sort II</t>
  </si>
  <si>
    <t xml:space="preserve">https://leetcode.com/problems/wiggle-sort-ii/</t>
  </si>
  <si>
    <t xml:space="preserve">Sort Array by Increasing Frequency</t>
  </si>
  <si>
    <t xml:space="preserve">https://leetcode.com/problems/sort-array-by-increasing-frequency/</t>
  </si>
  <si>
    <t xml:space="preserve">Largest Number</t>
  </si>
  <si>
    <t xml:space="preserve">https://leetcode.com/problems/largest-number/</t>
  </si>
  <si>
    <t xml:space="preserve">Reorder Data in Log Files</t>
  </si>
  <si>
    <t xml:space="preserve">https://leetcode.com/problems/reorder-data-in-log-files/</t>
  </si>
  <si>
    <t xml:space="preserve">Relative Sort Array</t>
  </si>
  <si>
    <t xml:space="preserve">https://leetcode.com/problems/relative-sort-array/</t>
  </si>
  <si>
    <t xml:space="preserve">H-Index</t>
  </si>
  <si>
    <t xml:space="preserve">https://leetcode.com/problems/h-index/</t>
  </si>
  <si>
    <t xml:space="preserve">Maximum Gap</t>
  </si>
  <si>
    <t xml:space="preserve">https://leetcode.com/problems/maximum-gap/</t>
  </si>
  <si>
    <t xml:space="preserve">Contains Duplicate III</t>
  </si>
  <si>
    <t xml:space="preserve">https://leetcode.com/problems/contains-duplicate-iii/</t>
  </si>
  <si>
    <t xml:space="preserve">Plus One</t>
  </si>
  <si>
    <t xml:space="preserve">https://leetcode.com/problems/plus-one/</t>
  </si>
  <si>
    <t xml:space="preserve">Greatest Common Divisor of Strings</t>
  </si>
  <si>
    <t xml:space="preserve">https://leetcode.com/problems/greatest-common-divisor-of-strings/</t>
  </si>
  <si>
    <t xml:space="preserve">Find Greatest Common Divisor of Array</t>
  </si>
  <si>
    <t xml:space="preserve">https://leetcode.com/problems/find-greatest-common-divisor-of-array/</t>
  </si>
  <si>
    <t xml:space="preserve">Count Primes</t>
  </si>
  <si>
    <t xml:space="preserve">https://leetcode.com/problems/count-primes/</t>
  </si>
  <si>
    <t xml:space="preserve">Factorial Trailing Zeroes</t>
  </si>
  <si>
    <t xml:space="preserve">https://leetcode.com/problems/factorial-trailing-zeroes/</t>
  </si>
  <si>
    <t xml:space="preserve">Shuffle an Array</t>
  </si>
  <si>
    <t xml:space="preserve">https://leetcode.com/problems/shuffle-an-array/</t>
  </si>
  <si>
    <t xml:space="preserve">Random Pick with Weight</t>
  </si>
  <si>
    <t xml:space="preserve">https://leetcode.com/problems/random-pick-with-weight/</t>
  </si>
  <si>
    <t xml:space="preserve">Linked List Random Node</t>
  </si>
  <si>
    <t xml:space="preserve">https://leetcode.com/problems/linked-list-random-node/</t>
  </si>
  <si>
    <t xml:space="preserve">Implement Rand10() Using Rand7()</t>
  </si>
  <si>
    <t xml:space="preserve">https://leetcode.com/problems/implement-rand10-using-rand7/</t>
  </si>
  <si>
    <t xml:space="preserve">Rectangle Overlap</t>
  </si>
  <si>
    <t xml:space="preserve">https://leetcode.com/problems/rectangle-overlap/</t>
  </si>
  <si>
    <t xml:space="preserve">Rectangle Area</t>
  </si>
  <si>
    <t xml:space="preserve">https://leetcode.com/problems/rectangle-area/</t>
  </si>
  <si>
    <t xml:space="preserve">Detect Squares</t>
  </si>
  <si>
    <t xml:space="preserve">https://leetcode.com/problems/detect-squares/</t>
  </si>
  <si>
    <t xml:space="preserve">Max Points on a Line</t>
  </si>
  <si>
    <t xml:space="preserve">https://leetcode.com/problems/max-points-on-a-line/</t>
  </si>
  <si>
    <t xml:space="preserve">LRU Cache</t>
  </si>
  <si>
    <t xml:space="preserve">https://leetcode.com/problems/lru-cache/</t>
  </si>
  <si>
    <t xml:space="preserve">LFU Cache</t>
  </si>
  <si>
    <t xml:space="preserve">https://leetcode.com/problems/lfu-cache/</t>
  </si>
  <si>
    <t xml:space="preserve">Design HashSet</t>
  </si>
  <si>
    <t xml:space="preserve">https://leetcode.com/problems/design-hashset/</t>
  </si>
  <si>
    <t xml:space="preserve">Design HashMap</t>
  </si>
  <si>
    <t xml:space="preserve">https://leetcode.com/problems/design-hashmap/</t>
  </si>
  <si>
    <t xml:space="preserve">Insert Delete GetRandom O(1)</t>
  </si>
  <si>
    <t xml:space="preserve">https://leetcode.com/problems/insert-delete-getrandom-o1/</t>
  </si>
  <si>
    <t xml:space="preserve">All O`one Data Structure</t>
  </si>
  <si>
    <t xml:space="preserve">https://leetcode.com/problems/all-oone-data-structure/</t>
  </si>
  <si>
    <t xml:space="preserve">Design Twitter</t>
  </si>
  <si>
    <t xml:space="preserve">https://leetcode.com/problems/design-twitter/</t>
  </si>
  <si>
    <t xml:space="preserve">Design Underground System</t>
  </si>
  <si>
    <t xml:space="preserve">https://leetcode.com/problems/design-underground-system/</t>
  </si>
  <si>
    <t xml:space="preserve">Design a Food Rating System</t>
  </si>
  <si>
    <t xml:space="preserve">https://leetcode.com/problems/design-a-food-rating-system/</t>
  </si>
  <si>
    <t xml:space="preserve">Product of the Last K Numbers</t>
  </si>
  <si>
    <t xml:space="preserve">https://leetcode.com/problems/product-of-the-last-k-numbers/</t>
  </si>
  <si>
    <t xml:space="preserve">Design Hit Counter</t>
  </si>
  <si>
    <t xml:space="preserve">https://leetcode.com/problems/design-hit-counter/</t>
  </si>
  <si>
    <t xml:space="preserve">Peeking Iterator</t>
  </si>
  <si>
    <t xml:space="preserve">https://leetcode.com/problems/peeking-iterator/</t>
  </si>
  <si>
    <t xml:space="preserve">Flatten Nested List Iterator</t>
  </si>
  <si>
    <t xml:space="preserve">https://leetcode.com/problems/flatten-nested-list-iterator/</t>
  </si>
  <si>
    <t xml:space="preserve">Design Skiplist</t>
  </si>
  <si>
    <t xml:space="preserve">https://leetcode.com/problems/design-skiplist/</t>
  </si>
  <si>
    <t xml:space="preserve">Range Sum Query - Mutable</t>
  </si>
  <si>
    <t xml:space="preserve">https://leetcode.com/problems/range-sum-query-mutable/</t>
  </si>
  <si>
    <t xml:space="preserve">Falling Squares</t>
  </si>
  <si>
    <t xml:space="preserve">https://leetcode.com/problems/falling-squares/</t>
  </si>
  <si>
    <t xml:space="preserve">Range Module</t>
  </si>
  <si>
    <t xml:space="preserve">https://leetcode.com/problems/range-module/</t>
  </si>
  <si>
    <t xml:space="preserve">Create Sorted Array through Instructions</t>
  </si>
  <si>
    <t xml:space="preserve">https://leetcode.com/problems/create-sorted-array-through-instructions/</t>
  </si>
  <si>
    <t xml:space="preserve">Count of Range Sum</t>
  </si>
  <si>
    <t xml:space="preserve">https://leetcode.com/problems/count-of-range-sum/</t>
  </si>
  <si>
    <t xml:space="preserve">Stock Price Fluctuation</t>
  </si>
  <si>
    <t xml:space="preserve">https://leetcode.com/problems/stock-price-fluctuation/</t>
  </si>
  <si>
    <t xml:space="preserve">Data Stream as Disjoint Intervals</t>
  </si>
  <si>
    <t xml:space="preserve">https://leetcode.com/problems/data-stream-as-disjoint-intervals/</t>
  </si>
  <si>
    <t xml:space="preserve">HOW TO USE THIS TRACKER</t>
  </si>
  <si>
    <t xml:space="preserve">SHEETS</t>
  </si>
  <si>
    <t xml:space="preserve">Dashboard</t>
  </si>
  <si>
    <t xml:space="preserve">Overall KPIs, progress by data structure, difficulty, famous list and the 17-week plan. Fully formula-driven.</t>
  </si>
  <si>
    <t xml:space="preserve">Pattern Map</t>
  </si>
  <si>
    <t xml:space="preserve">Hierarchy: Data Structure → Pattern → Sub-Pattern, with how to recognise it, the core template, complexity and live problem counts.</t>
  </si>
  <si>
    <t xml:space="preserve">Problem Tracker</t>
  </si>
  <si>
    <t xml:space="preserve">Every problem with its LeetCode link. Click the problem name or the link to open it. Filter by any column.</t>
  </si>
  <si>
    <t xml:space="preserve">CELLS YOU EDIT</t>
  </si>
  <si>
    <t xml:space="preserve">Dropdown: Not Started → In Progress → Solved → Revise → Mastered. 'Mastered' strikes the title through.</t>
  </si>
  <si>
    <t xml:space="preserve">Date you first solved it (or last revised). Drives Next Revision.</t>
  </si>
  <si>
    <t xml:space="preserve">How many times you've re-solved it. Next Revision = Date + 3 / 7 / 21 / 45 days (spaced repetition).</t>
  </si>
  <si>
    <t xml:space="preserve">1–2 turns red (redo soon), 4–5 turns green.</t>
  </si>
  <si>
    <t xml:space="preserve">One line on the key insight — this is what you revise before interviews. Row 2 is a filled example; overwrite it.</t>
  </si>
  <si>
    <t xml:space="preserve">COLOUR LEGEND</t>
  </si>
  <si>
    <t xml:space="preserve">Difficulty tag</t>
  </si>
  <si>
    <t xml:space="preserve">The original 75 most-repeated interview problems — Priority P0. Do these first.</t>
  </si>
  <si>
    <t xml:space="preserve">Additional problems from the NeetCode 150 list (Blind 75 + these ≈ NeetCode 150) — P1.</t>
  </si>
  <si>
    <t xml:space="preserve">Frequently asked classics outside those two lists (LFU, Next Permutation, Subarray Sum = K…) — P1.</t>
  </si>
  <si>
    <t xml:space="preserve">Extra depth for the pattern — P2. Do after P0/P1 of the same sub-pattern.</t>
  </si>
  <si>
    <t xml:space="preserve">Interview weight of a sub-pattern (Pattern Map) — appears in most loops.</t>
  </si>
  <si>
    <t xml:space="preserve">Next Revision (orange)</t>
  </si>
  <si>
    <t xml:space="preserve">Revision date has arrived — redo the problem without looking at your old code.</t>
  </si>
  <si>
    <t xml:space="preserve">🔒 Premium</t>
  </si>
  <si>
    <t xml:space="preserve">Needs LeetCode Premium. Free mirrors exist on NeetCode.io / LintCode for most.</t>
  </si>
  <si>
    <t xml:space="preserve">RECOMMENDED WORKFLOW</t>
  </si>
  <si>
    <t xml:space="preserve">1. Learn the pattern</t>
  </si>
  <si>
    <t xml:space="preserve">Read the Pattern Map row: trigger + template. Write the template from memory once.</t>
  </si>
  <si>
    <t xml:space="preserve">2. Solve in order</t>
  </si>
  <si>
    <t xml:space="preserve">Within each sub-pattern problems are ordered Easy → Medium → Hard. Do P0/P1 first, P2 if time allows.</t>
  </si>
  <si>
    <t xml:space="preserve">3. Time-box</t>
  </si>
  <si>
    <t xml:space="preserve">25 min Easy, 40 min Medium, 60 min Hard. Stuck → read the approach only, then code it yourself.</t>
  </si>
  <si>
    <t xml:space="preserve">4. Say it out loud</t>
  </si>
  <si>
    <t xml:space="preserve">Product-company interviews grade communication: state brute force, complexity, then optimise.</t>
  </si>
  <si>
    <t xml:space="preserve">5. Revise</t>
  </si>
  <si>
    <t xml:space="preserve">Filter Next Revision ≤ today every morning. Mark 'Mastered' only after solving cold twice.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</si>
</sst>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%"/>
    <numFmt numFmtId="168" formatCode="dd\-mmm\-yy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5803D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EA580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0"/>
      <color rgb="FFBE185D"/>
      <name val="Arial"/>
      <family val="0"/>
      <charset val="1"/>
    </font>
    <font>
      <b val="true"/>
      <sz val="10"/>
      <color rgb="FF0369A1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BE123C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0"/>
      <color rgb="FFA21CAF"/>
      <name val="Arial"/>
      <family val="0"/>
      <charset val="1"/>
    </font>
    <font>
      <b val="true"/>
      <sz val="10"/>
      <color rgb="FF4338CA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4D7C0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0"/>
      <color rgb="FFA16207"/>
      <name val="Arial"/>
      <family val="0"/>
      <charset val="1"/>
    </font>
    <font>
      <b val="true"/>
      <sz val="10"/>
      <color rgb="FF7E22CE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86198F"/>
      <name val="Arial"/>
      <family val="0"/>
      <charset val="1"/>
    </font>
    <font>
      <b val="true"/>
      <sz val="10"/>
      <color rgb="FF0284C7"/>
      <name val="Arial"/>
      <family val="0"/>
      <charset val="1"/>
    </font>
    <font>
      <b val="true"/>
      <sz val="10"/>
      <color rgb="FF9F123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4B556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0"/>
      <color rgb="FF111827"/>
      <name val="Arial"/>
      <family val="0"/>
      <charset val="1"/>
    </font>
  </fonts>
  <fills count="57">
    <fill>
      <patternFill patternType="none"/>
    </fill>
    <fill>
      <patternFill patternType="gray125"/>
    </fill>
    <fill>
      <patternFill patternType="darkGray">
        <fgColor rgb="FF1A2332"/>
        <bgColor rgb="FF354457"/>
      </patternFill>
    </fill>
    <fill>
      <patternFill patternType="solid">
        <fgColor rgb="FFC6EFCE"/>
        <bgColor rgb="FFD1FAE5"/>
      </patternFill>
    </fill>
    <fill>
      <patternFill patternType="darkGray">
        <fgColor rgb="FF0E7C29"/>
        <bgColor rgb="FF047857"/>
      </patternFill>
    </fill>
    <fill>
      <patternFill patternType="solid">
        <fgColor rgb="FFFFEB9C"/>
        <bgColor rgb="FFFDE68A"/>
      </patternFill>
    </fill>
    <fill>
      <patternFill patternType="solid">
        <fgColor rgb="FF1D4ED8"/>
        <bgColor rgb="FF2563EB"/>
      </patternFill>
    </fill>
    <fill>
      <patternFill patternType="solid">
        <fgColor rgb="FFFFC7CE"/>
        <bgColor rgb="FFFED1CD"/>
      </patternFill>
    </fill>
    <fill>
      <patternFill patternType="darkGray">
        <fgColor rgb="FFF56A0D"/>
        <bgColor rgb="FFC2410C"/>
      </patternFill>
    </fill>
    <fill>
      <patternFill patternType="solid">
        <fgColor rgb="FF7C3AED"/>
        <bgColor rgb="FF6D28D9"/>
      </patternFill>
    </fill>
    <fill>
      <patternFill patternType="solid">
        <fgColor rgb="FF2563EB"/>
        <bgColor rgb="FF1D4ED8"/>
      </patternFill>
    </fill>
    <fill>
      <patternFill patternType="solid">
        <fgColor rgb="FF0D9488"/>
        <bgColor rgb="FF0F766E"/>
      </patternFill>
    </fill>
    <fill>
      <patternFill patternType="darkGray">
        <fgColor rgb="FF1A2332"/>
        <bgColor rgb="FF000000"/>
      </patternFill>
    </fill>
    <fill>
      <patternFill patternType="solid">
        <fgColor rgb="FFDBEAFE"/>
        <bgColor rgb="FFE0E7FF"/>
      </patternFill>
    </fill>
    <fill>
      <patternFill patternType="solid">
        <fgColor rgb="FFEDE9FE"/>
        <bgColor rgb="FFFAE8FF"/>
      </patternFill>
    </fill>
    <fill>
      <patternFill patternType="solid">
        <fgColor rgb="FFFCE7F3"/>
        <bgColor rgb="FFFAE8FF"/>
      </patternFill>
    </fill>
    <fill>
      <patternFill patternType="solid">
        <fgColor rgb="FFE0F2FE"/>
        <bgColor rgb="FFDBEAFE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EF9C3"/>
      </patternFill>
    </fill>
    <fill>
      <patternFill patternType="solid">
        <fgColor rgb="FFFFE4E5"/>
        <bgColor rgb="FFFCE7F3"/>
      </patternFill>
    </fill>
    <fill>
      <patternFill patternType="solid">
        <fgColor rgb="FFCCFBF1"/>
        <bgColor rgb="FFCFFAFE"/>
      </patternFill>
    </fill>
    <fill>
      <patternFill patternType="solid">
        <fgColor rgb="FFFAE8FF"/>
        <bgColor rgb="FFFCE7F3"/>
      </patternFill>
    </fill>
    <fill>
      <patternFill patternType="solid">
        <fgColor rgb="FFE0E7FF"/>
        <bgColor rgb="FFDBEAFE"/>
      </patternFill>
    </fill>
    <fill>
      <patternFill patternType="solid">
        <fgColor rgb="FFFFEDD5"/>
        <bgColor rgb="FFFEF3C7"/>
      </patternFill>
    </fill>
    <fill>
      <patternFill patternType="solid">
        <fgColor rgb="FFECFCCB"/>
        <bgColor rgb="FFFEF9C3"/>
      </patternFill>
    </fill>
    <fill>
      <patternFill patternType="solid">
        <fgColor rgb="FFF1F5F9"/>
        <bgColor rgb="FFF3F4F6"/>
      </patternFill>
    </fill>
    <fill>
      <patternFill patternType="solid">
        <fgColor rgb="FFD1FAE5"/>
        <bgColor rgb="FFCCFBF1"/>
      </patternFill>
    </fill>
    <fill>
      <patternFill patternType="solid">
        <fgColor rgb="FFFEF9C3"/>
        <bgColor rgb="FFFEF3C7"/>
      </patternFill>
    </fill>
    <fill>
      <patternFill patternType="solid">
        <fgColor rgb="FFE9D5FF"/>
        <bgColor rgb="FFF5D0FE"/>
      </patternFill>
    </fill>
    <fill>
      <patternFill patternType="solid">
        <fgColor rgb="FFCFFAFE"/>
        <bgColor rgb="FFCCFBF1"/>
      </patternFill>
    </fill>
    <fill>
      <patternFill patternType="solid">
        <fgColor rgb="FFFDE68A"/>
        <bgColor rgb="FFFFEB9C"/>
      </patternFill>
    </fill>
    <fill>
      <patternFill patternType="solid">
        <fgColor rgb="FFF5D0FE"/>
        <bgColor rgb="FFE9D5FF"/>
      </patternFill>
    </fill>
    <fill>
      <patternFill patternType="solid">
        <fgColor rgb="FFBAE6FD"/>
        <bgColor rgb="FFC6EFCE"/>
      </patternFill>
    </fill>
    <fill>
      <patternFill patternType="darkGray">
        <fgColor rgb="FFFED1CD"/>
        <bgColor rgb="FFFFC7CE"/>
      </patternFill>
    </fill>
    <fill>
      <patternFill patternType="solid">
        <fgColor rgb="FFFFE4E5"/>
        <bgColor rgb="FFFCE7F3"/>
      </patternFill>
    </fill>
    <fill>
      <patternFill patternType="solid">
        <fgColor rgb="FF6D28D9"/>
        <bgColor rgb="FF7E22CE"/>
      </patternFill>
    </fill>
    <fill>
      <patternFill patternType="solid">
        <fgColor rgb="FFBE185D"/>
        <bgColor rgb="FFC51330"/>
      </patternFill>
    </fill>
    <fill>
      <patternFill patternType="solid">
        <fgColor rgb="FFF3F4F6"/>
        <bgColor rgb="FFF1F5F9"/>
      </patternFill>
    </fill>
    <fill>
      <patternFill patternType="darkGray">
        <fgColor rgb="FF0368A8"/>
        <bgColor rgb="FF0E7490"/>
      </patternFill>
    </fill>
    <fill>
      <patternFill patternType="solid">
        <fgColor rgb="FFB45309"/>
        <bgColor rgb="FFA06104"/>
      </patternFill>
    </fill>
    <fill>
      <patternFill patternType="darkGray">
        <fgColor rgb="FFC51330"/>
        <bgColor rgb="FFBE185D"/>
      </patternFill>
    </fill>
    <fill>
      <patternFill patternType="solid">
        <fgColor rgb="FF0F766E"/>
        <bgColor rgb="FF047857"/>
      </patternFill>
    </fill>
    <fill>
      <patternFill patternType="solid">
        <fgColor rgb="FFA21CAF"/>
        <bgColor rgb="FF86198F"/>
      </patternFill>
    </fill>
    <fill>
      <patternFill patternType="solid">
        <fgColor rgb="FF4338CA"/>
        <bgColor rgb="FF6D28D9"/>
      </patternFill>
    </fill>
    <fill>
      <patternFill patternType="solid">
        <fgColor rgb="FFC2410C"/>
        <bgColor rgb="FFB45309"/>
      </patternFill>
    </fill>
    <fill>
      <patternFill patternType="solid">
        <fgColor rgb="FF56791A"/>
        <bgColor rgb="FF0E7C29"/>
      </patternFill>
    </fill>
    <fill>
      <patternFill patternType="solid">
        <fgColor rgb="FF354457"/>
        <bgColor rgb="FF1A2332"/>
      </patternFill>
    </fill>
    <fill>
      <patternFill patternType="solid">
        <fgColor rgb="FF047857"/>
        <bgColor rgb="FF0F766E"/>
      </patternFill>
    </fill>
    <fill>
      <patternFill patternType="solid">
        <fgColor rgb="FFA06104"/>
        <bgColor rgb="FFB45309"/>
      </patternFill>
    </fill>
    <fill>
      <patternFill patternType="solid">
        <fgColor rgb="FF7E22CE"/>
        <bgColor rgb="FF6D28D9"/>
      </patternFill>
    </fill>
    <fill>
      <patternFill patternType="solid">
        <fgColor rgb="FF0E7490"/>
        <bgColor rgb="FF0F766E"/>
      </patternFill>
    </fill>
    <fill>
      <patternFill patternType="solid">
        <fgColor rgb="FF913F0E"/>
        <bgColor rgb="FFB45309"/>
      </patternFill>
    </fill>
    <fill>
      <patternFill patternType="solid">
        <fgColor rgb="FF86198F"/>
        <bgColor rgb="FFA21CAF"/>
      </patternFill>
    </fill>
    <fill>
      <patternFill patternType="solid">
        <fgColor rgb="FF0284C7"/>
        <bgColor rgb="FF0E7490"/>
      </patternFill>
    </fill>
    <fill>
      <patternFill patternType="solid">
        <fgColor rgb="FF9F0B26"/>
        <bgColor rgb="FFC51330"/>
      </patternFill>
    </fill>
    <fill>
      <patternFill patternType="solid">
        <fgColor rgb="FFFFFDE7"/>
        <bgColor rgb="FFFFFFFF"/>
      </patternFill>
    </fill>
    <fill>
      <patternFill patternType="solid">
        <fgColor rgb="FFF56A0D"/>
        <bgColor rgb="FFB4530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3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3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3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3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3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3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4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4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5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5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5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5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5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5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5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5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5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5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5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5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5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9" fillId="5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9" fillId="5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5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4">
    <dxf>
      <fill>
        <patternFill patternType="solid">
          <fgColor rgb="FF0284C7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47857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4338CA"/>
          <bgColor rgb="FF000000"/>
        </patternFill>
      </fill>
    </dxf>
    <dxf>
      <fill>
        <patternFill patternType="solid">
          <fgColor rgb="FF4D7C0F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7E22CE"/>
          <bgColor rgb="FF000000"/>
        </patternFill>
      </fill>
    </dxf>
    <dxf>
      <fill>
        <patternFill patternType="solid">
          <fgColor rgb="FF86198F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F1239"/>
          <bgColor rgb="FF000000"/>
        </patternFill>
      </fill>
    </dxf>
    <dxf>
      <fill>
        <patternFill patternType="solid">
          <fgColor rgb="FFA16207"/>
          <bgColor rgb="FF000000"/>
        </patternFill>
      </fill>
    </dxf>
    <dxf>
      <fill>
        <patternFill patternType="solid">
          <fgColor rgb="FFA21CA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AE6FD"/>
          <bgColor rgb="FF000000"/>
        </patternFill>
      </fill>
    </dxf>
    <dxf>
      <fill>
        <patternFill patternType="solid">
          <fgColor rgb="FFBE123C"/>
          <bgColor rgb="FF000000"/>
        </patternFill>
      </fill>
    </dxf>
    <dxf>
      <fill>
        <patternFill patternType="solid">
          <fgColor rgb="FFBE185D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CFFAFE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9D5FF"/>
          <bgColor rgb="FF000000"/>
        </patternFill>
      </fill>
    </dxf>
    <dxf>
      <fill>
        <patternFill patternType="solid">
          <fgColor rgb="FFECFCCB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5D0FE"/>
          <bgColor rgb="FF000000"/>
        </patternFill>
      </fill>
    </dxf>
    <dxf>
      <fill>
        <patternFill patternType="solid">
          <fgColor rgb="FFFAE8FF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CDD3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D9488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5803D"/>
        </patternFill>
      </fill>
    </dxf>
    <dxf>
      <font>
        <name val="Arial"/>
        <charset val="1"/>
        <family val="0"/>
        <b val="1"/>
        <color rgb="FF854D0E"/>
      </font>
      <fill>
        <patternFill>
          <bgColor rgb="FFFEF08A"/>
        </patternFill>
      </fill>
    </dxf>
    <dxf>
      <font>
        <name val="Arial"/>
        <charset val="1"/>
        <family val="0"/>
        <b val="1"/>
        <color rgb="FF9A3412"/>
      </font>
      <fill>
        <patternFill>
          <bgColor rgb="FFFED7A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97316"/>
        </patternFill>
      </fill>
    </dxf>
    <dxf>
      <fill>
        <patternFill>
          <bgColor rgb="FFFECACA"/>
        </patternFill>
      </fill>
    </dxf>
    <dxf>
      <fill>
        <patternFill>
          <bgColor rgb="FFBBF7D0"/>
        </patternFill>
      </fill>
    </dxf>
    <dxf>
      <font>
        <name val="Arial"/>
        <charset val="1"/>
        <family val="0"/>
        <strike val="1"/>
        <color rgb="FF6B7280"/>
      </font>
    </dxf>
  </dxfs>
  <colors>
    <indexedColors>
      <rgbColor rgb="FF000000"/>
      <rgbColor rgb="FFFFFFFF"/>
      <rgbColor rgb="FFC51330"/>
      <rgbColor rgb="FFEDE9FE"/>
      <rgbColor rgb="FF0000FF"/>
      <rgbColor rgb="FFFDE68A"/>
      <rgbColor rgb="FFFCE7F3"/>
      <rgbColor rgb="FFDCFCE7"/>
      <rgbColor rgb="FF9F0B26"/>
      <rgbColor rgb="FF0E7C29"/>
      <rgbColor rgb="FFF3F4F6"/>
      <rgbColor rgb="FF56791A"/>
      <rgbColor rgb="FF86198F"/>
      <rgbColor rgb="FF0F766E"/>
      <rgbColor rgb="FFE9D5FF"/>
      <rgbColor rgb="FFA06104"/>
      <rgbColor rgb="FFE0E7FF"/>
      <rgbColor rgb="FFBE185D"/>
      <rgbColor rgb="FFFEF9C3"/>
      <rgbColor rgb="FFCFFAFE"/>
      <rgbColor rgb="FF6D28D9"/>
      <rgbColor rgb="FFB45309"/>
      <rgbColor rgb="FF0368A8"/>
      <rgbColor rgb="FFD0D5DD"/>
      <rgbColor rgb="FFFFFDE7"/>
      <rgbColor rgb="FFFAE8FF"/>
      <rgbColor rgb="FFFEF3C7"/>
      <rgbColor rgb="FFE0F2FE"/>
      <rgbColor rgb="FF7E22CE"/>
      <rgbColor rgb="FFC2410C"/>
      <rgbColor rgb="FF0E7490"/>
      <rgbColor rgb="FFF1F5F9"/>
      <rgbColor rgb="FF0284C7"/>
      <rgbColor rgb="FFCCFBF1"/>
      <rgbColor rgb="FFD1FAE5"/>
      <rgbColor rgb="FFFFEB9C"/>
      <rgbColor rgb="FFBAE6FD"/>
      <rgbColor rgb="FFFFC7CE"/>
      <rgbColor rgb="FFF5D0FE"/>
      <rgbColor rgb="FFFED1CD"/>
      <rgbColor rgb="FF2563EB"/>
      <rgbColor rgb="FFDBEAFE"/>
      <rgbColor rgb="FFECFCCB"/>
      <rgbColor rgb="FFFFEDD5"/>
      <rgbColor rgb="FFFFE4E5"/>
      <rgbColor rgb="FFF56A0D"/>
      <rgbColor rgb="FF7C3AED"/>
      <rgbColor rgb="FFC6EFCE"/>
      <rgbColor rgb="FF1D4ED8"/>
      <rgbColor rgb="FF0D9488"/>
      <rgbColor rgb="FF047857"/>
      <rgbColor rgb="FF1A2332"/>
      <rgbColor rgb="FF913F0E"/>
      <rgbColor rgb="FFA21CAF"/>
      <rgbColor rgb="FF4338CA"/>
      <rgbColor rgb="FF3544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two-sum/" TargetMode="External"/><Relationship Id="rId3" Type="http://schemas.openxmlformats.org/officeDocument/2006/relationships/hyperlink" Target="https://leetcode.com/problems/max-number-of-k-sum-pairs/" TargetMode="External"/><Relationship Id="rId4" Type="http://schemas.openxmlformats.org/officeDocument/2006/relationships/hyperlink" Target="https://leetcode.com/problems/max-number-of-k-sum-pairs/" TargetMode="External"/><Relationship Id="rId5" Type="http://schemas.openxmlformats.org/officeDocument/2006/relationships/hyperlink" Target="https://leetcode.com/problems/4sum-ii/" TargetMode="External"/><Relationship Id="rId6" Type="http://schemas.openxmlformats.org/officeDocument/2006/relationships/hyperlink" Target="https://leetcode.com/problems/4sum-ii/" TargetMode="External"/><Relationship Id="rId7" Type="http://schemas.openxmlformats.org/officeDocument/2006/relationships/hyperlink" Target="https://leetcode.com/problems/contains-duplicate/" TargetMode="External"/><Relationship Id="rId8" Type="http://schemas.openxmlformats.org/officeDocument/2006/relationships/hyperlink" Target="https://leetcode.com/problems/contains-duplicate/" TargetMode="External"/><Relationship Id="rId9" Type="http://schemas.openxmlformats.org/officeDocument/2006/relationships/hyperlink" Target="https://leetcode.com/problems/contains-duplicate-ii/" TargetMode="External"/><Relationship Id="rId10" Type="http://schemas.openxmlformats.org/officeDocument/2006/relationships/hyperlink" Target="https://leetcode.com/problems/contains-duplicate-ii/" TargetMode="External"/><Relationship Id="rId11" Type="http://schemas.openxmlformats.org/officeDocument/2006/relationships/hyperlink" Target="https://leetcode.com/problems/unique-number-of-occurrences/" TargetMode="External"/><Relationship Id="rId12" Type="http://schemas.openxmlformats.org/officeDocument/2006/relationships/hyperlink" Target="https://leetcode.com/problems/unique-number-of-occurrences/" TargetMode="External"/><Relationship Id="rId13" Type="http://schemas.openxmlformats.org/officeDocument/2006/relationships/hyperlink" Target="https://leetcode.com/problems/equal-row-and-column-pairs/" TargetMode="External"/><Relationship Id="rId14" Type="http://schemas.openxmlformats.org/officeDocument/2006/relationships/hyperlink" Target="https://leetcode.com/problems/equal-row-and-column-pairs/" TargetMode="External"/><Relationship Id="rId15" Type="http://schemas.openxmlformats.org/officeDocument/2006/relationships/hyperlink" Target="https://leetcode.com/problems/valid-sudoku/" TargetMode="External"/><Relationship Id="rId16" Type="http://schemas.openxmlformats.org/officeDocument/2006/relationships/hyperlink" Target="https://leetcode.com/problems/valid-sudoku/" TargetMode="External"/><Relationship Id="rId17" Type="http://schemas.openxmlformats.org/officeDocument/2006/relationships/hyperlink" Target="https://leetcode.com/problems/group-shifted-strings/" TargetMode="External"/><Relationship Id="rId18" Type="http://schemas.openxmlformats.org/officeDocument/2006/relationships/hyperlink" Target="https://leetcode.com/problems/group-shifted-strings/" TargetMode="External"/><Relationship Id="rId19" Type="http://schemas.openxmlformats.org/officeDocument/2006/relationships/hyperlink" Target="https://leetcode.com/problems/find-duplicate-file-in-system/" TargetMode="External"/><Relationship Id="rId20" Type="http://schemas.openxmlformats.org/officeDocument/2006/relationships/hyperlink" Target="https://leetcode.com/problems/find-duplicate-file-in-system/" TargetMode="External"/><Relationship Id="rId21" Type="http://schemas.openxmlformats.org/officeDocument/2006/relationships/hyperlink" Target="https://leetcode.com/problems/intersection-of-two-arrays/" TargetMode="External"/><Relationship Id="rId22" Type="http://schemas.openxmlformats.org/officeDocument/2006/relationships/hyperlink" Target="https://leetcode.com/problems/intersection-of-two-arrays/" TargetMode="External"/><Relationship Id="rId23" Type="http://schemas.openxmlformats.org/officeDocument/2006/relationships/hyperlink" Target="https://leetcode.com/problems/happy-number/" TargetMode="External"/><Relationship Id="rId24" Type="http://schemas.openxmlformats.org/officeDocument/2006/relationships/hyperlink" Target="https://leetcode.com/problems/happy-number/" TargetMode="External"/><Relationship Id="rId25" Type="http://schemas.openxmlformats.org/officeDocument/2006/relationships/hyperlink" Target="https://leetcode.com/problems/longest-consecutive-sequence/" TargetMode="External"/><Relationship Id="rId26" Type="http://schemas.openxmlformats.org/officeDocument/2006/relationships/hyperlink" Target="https://leetcode.com/problems/longest-consecutive-sequence/" TargetMode="External"/><Relationship Id="rId27" Type="http://schemas.openxmlformats.org/officeDocument/2006/relationships/hyperlink" Target="https://leetcode.com/problems/valid-palindrome/" TargetMode="External"/><Relationship Id="rId28" Type="http://schemas.openxmlformats.org/officeDocument/2006/relationships/hyperlink" Target="https://leetcode.com/problems/valid-palindrome/" TargetMode="External"/><Relationship Id="rId29" Type="http://schemas.openxmlformats.org/officeDocument/2006/relationships/hyperlink" Target="https://leetcode.com/problems/squares-of-a-sorted-array/" TargetMode="External"/><Relationship Id="rId30" Type="http://schemas.openxmlformats.org/officeDocument/2006/relationships/hyperlink" Target="https://leetcode.com/problems/squares-of-a-sorted-array/" TargetMode="External"/><Relationship Id="rId31" Type="http://schemas.openxmlformats.org/officeDocument/2006/relationships/hyperlink" Target="https://leetcode.com/problems/two-sum-ii-input-array-is-sorted/" TargetMode="External"/><Relationship Id="rId32" Type="http://schemas.openxmlformats.org/officeDocument/2006/relationships/hyperlink" Target="https://leetcode.com/problems/two-sum-ii-input-array-is-sorted/" TargetMode="External"/><Relationship Id="rId33" Type="http://schemas.openxmlformats.org/officeDocument/2006/relationships/hyperlink" Target="https://leetcode.com/problems/container-with-most-water/" TargetMode="External"/><Relationship Id="rId34" Type="http://schemas.openxmlformats.org/officeDocument/2006/relationships/hyperlink" Target="https://leetcode.com/problems/container-with-most-water/" TargetMode="External"/><Relationship Id="rId35" Type="http://schemas.openxmlformats.org/officeDocument/2006/relationships/hyperlink" Target="https://leetcode.com/problems/boats-to-save-people/" TargetMode="External"/><Relationship Id="rId36" Type="http://schemas.openxmlformats.org/officeDocument/2006/relationships/hyperlink" Target="https://leetcode.com/problems/boats-to-save-people/" TargetMode="External"/><Relationship Id="rId37" Type="http://schemas.openxmlformats.org/officeDocument/2006/relationships/hyperlink" Target="https://leetcode.com/problems/trapping-rain-water/" TargetMode="External"/><Relationship Id="rId38" Type="http://schemas.openxmlformats.org/officeDocument/2006/relationships/hyperlink" Target="https://leetcode.com/problems/trapping-rain-water/" TargetMode="External"/><Relationship Id="rId39" Type="http://schemas.openxmlformats.org/officeDocument/2006/relationships/hyperlink" Target="https://leetcode.com/problems/remove-duplicates-from-sorted-array/" TargetMode="External"/><Relationship Id="rId40" Type="http://schemas.openxmlformats.org/officeDocument/2006/relationships/hyperlink" Target="https://leetcode.com/problems/remove-duplicates-from-sorted-array/" TargetMode="External"/><Relationship Id="rId41" Type="http://schemas.openxmlformats.org/officeDocument/2006/relationships/hyperlink" Target="https://leetcode.com/problems/remove-element/" TargetMode="External"/><Relationship Id="rId42" Type="http://schemas.openxmlformats.org/officeDocument/2006/relationships/hyperlink" Target="https://leetcode.com/problems/remove-element/" TargetMode="External"/><Relationship Id="rId43" Type="http://schemas.openxmlformats.org/officeDocument/2006/relationships/hyperlink" Target="https://leetcode.com/problems/move-zeroes/" TargetMode="External"/><Relationship Id="rId44" Type="http://schemas.openxmlformats.org/officeDocument/2006/relationships/hyperlink" Target="https://leetcode.com/problems/move-zeroes/" TargetMode="External"/><Relationship Id="rId45" Type="http://schemas.openxmlformats.org/officeDocument/2006/relationships/hyperlink" Target="https://leetcode.com/problems/merge-sorted-array/" TargetMode="External"/><Relationship Id="rId46" Type="http://schemas.openxmlformats.org/officeDocument/2006/relationships/hyperlink" Target="https://leetcode.com/problems/merge-sorted-array/" TargetMode="External"/><Relationship Id="rId47" Type="http://schemas.openxmlformats.org/officeDocument/2006/relationships/hyperlink" Target="https://leetcode.com/problems/is-subsequence/" TargetMode="External"/><Relationship Id="rId48" Type="http://schemas.openxmlformats.org/officeDocument/2006/relationships/hyperlink" Target="https://leetcode.com/problems/is-subsequence/" TargetMode="External"/><Relationship Id="rId49" Type="http://schemas.openxmlformats.org/officeDocument/2006/relationships/hyperlink" Target="https://leetcode.com/problems/remove-duplicates-from-sorted-array-ii/" TargetMode="External"/><Relationship Id="rId50" Type="http://schemas.openxmlformats.org/officeDocument/2006/relationships/hyperlink" Target="https://leetcode.com/problems/remove-duplicates-from-sorted-array-ii/" TargetMode="External"/><Relationship Id="rId51" Type="http://schemas.openxmlformats.org/officeDocument/2006/relationships/hyperlink" Target="https://leetcode.com/problems/3sum/" TargetMode="External"/><Relationship Id="rId52" Type="http://schemas.openxmlformats.org/officeDocument/2006/relationships/hyperlink" Target="https://leetcode.com/problems/3sum/" TargetMode="External"/><Relationship Id="rId53" Type="http://schemas.openxmlformats.org/officeDocument/2006/relationships/hyperlink" Target="https://leetcode.com/problems/3sum-closest/" TargetMode="External"/><Relationship Id="rId54" Type="http://schemas.openxmlformats.org/officeDocument/2006/relationships/hyperlink" Target="https://leetcode.com/problems/3sum-closest/" TargetMode="External"/><Relationship Id="rId55" Type="http://schemas.openxmlformats.org/officeDocument/2006/relationships/hyperlink" Target="https://leetcode.com/problems/valid-triangle-number/" TargetMode="External"/><Relationship Id="rId56" Type="http://schemas.openxmlformats.org/officeDocument/2006/relationships/hyperlink" Target="https://leetcode.com/problems/valid-triangle-number/" TargetMode="External"/><Relationship Id="rId57" Type="http://schemas.openxmlformats.org/officeDocument/2006/relationships/hyperlink" Target="https://leetcode.com/problems/4sum/" TargetMode="External"/><Relationship Id="rId58" Type="http://schemas.openxmlformats.org/officeDocument/2006/relationships/hyperlink" Target="https://leetcode.com/problems/4sum/" TargetMode="External"/><Relationship Id="rId59" Type="http://schemas.openxmlformats.org/officeDocument/2006/relationships/hyperlink" Target="https://leetcode.com/problems/sort-array-by-parity/" TargetMode="External"/><Relationship Id="rId60" Type="http://schemas.openxmlformats.org/officeDocument/2006/relationships/hyperlink" Target="https://leetcode.com/problems/sort-array-by-parity/" TargetMode="External"/><Relationship Id="rId61" Type="http://schemas.openxmlformats.org/officeDocument/2006/relationships/hyperlink" Target="https://leetcode.com/problems/sort-colors/" TargetMode="External"/><Relationship Id="rId62" Type="http://schemas.openxmlformats.org/officeDocument/2006/relationships/hyperlink" Target="https://leetcode.com/problems/sort-colors/" TargetMode="External"/><Relationship Id="rId63" Type="http://schemas.openxmlformats.org/officeDocument/2006/relationships/hyperlink" Target="https://leetcode.com/problems/partition-array-according-to-given-pivot/" TargetMode="External"/><Relationship Id="rId64" Type="http://schemas.openxmlformats.org/officeDocument/2006/relationships/hyperlink" Target="https://leetcode.com/problems/partition-array-according-to-given-pivot/" TargetMode="External"/><Relationship Id="rId65" Type="http://schemas.openxmlformats.org/officeDocument/2006/relationships/hyperlink" Target="https://leetcode.com/problems/rotate-array/" TargetMode="External"/><Relationship Id="rId66" Type="http://schemas.openxmlformats.org/officeDocument/2006/relationships/hyperlink" Target="https://leetcode.com/problems/rotate-array/" TargetMode="External"/><Relationship Id="rId67" Type="http://schemas.openxmlformats.org/officeDocument/2006/relationships/hyperlink" Target="https://leetcode.com/problems/next-permutation/" TargetMode="External"/><Relationship Id="rId68" Type="http://schemas.openxmlformats.org/officeDocument/2006/relationships/hyperlink" Target="https://leetcode.com/problems/next-permutation/" TargetMode="External"/><Relationship Id="rId69" Type="http://schemas.openxmlformats.org/officeDocument/2006/relationships/hyperlink" Target="https://leetcode.com/problems/majority-element/" TargetMode="External"/><Relationship Id="rId70" Type="http://schemas.openxmlformats.org/officeDocument/2006/relationships/hyperlink" Target="https://leetcode.com/problems/majority-element/" TargetMode="External"/><Relationship Id="rId71" Type="http://schemas.openxmlformats.org/officeDocument/2006/relationships/hyperlink" Target="https://leetcode.com/problems/majority-element-ii/" TargetMode="External"/><Relationship Id="rId72" Type="http://schemas.openxmlformats.org/officeDocument/2006/relationships/hyperlink" Target="https://leetcode.com/problems/majority-element-ii/" TargetMode="External"/><Relationship Id="rId73" Type="http://schemas.openxmlformats.org/officeDocument/2006/relationships/hyperlink" Target="https://leetcode.com/problems/find-all-numbers-disappeared-in-an-array/" TargetMode="External"/><Relationship Id="rId74" Type="http://schemas.openxmlformats.org/officeDocument/2006/relationships/hyperlink" Target="https://leetcode.com/problems/find-all-numbers-disappeared-in-an-array/" TargetMode="External"/><Relationship Id="rId75" Type="http://schemas.openxmlformats.org/officeDocument/2006/relationships/hyperlink" Target="https://leetcode.com/problems/find-all-duplicates-in-an-array/" TargetMode="External"/><Relationship Id="rId76" Type="http://schemas.openxmlformats.org/officeDocument/2006/relationships/hyperlink" Target="https://leetcode.com/problems/find-all-duplicates-in-an-array/" TargetMode="External"/><Relationship Id="rId77" Type="http://schemas.openxmlformats.org/officeDocument/2006/relationships/hyperlink" Target="https://leetcode.com/problems/find-the-duplicate-number/" TargetMode="External"/><Relationship Id="rId78" Type="http://schemas.openxmlformats.org/officeDocument/2006/relationships/hyperlink" Target="https://leetcode.com/problems/find-the-duplicate-number/" TargetMode="External"/><Relationship Id="rId79" Type="http://schemas.openxmlformats.org/officeDocument/2006/relationships/hyperlink" Target="https://leetcode.com/problems/first-missing-positive/" TargetMode="External"/><Relationship Id="rId80" Type="http://schemas.openxmlformats.org/officeDocument/2006/relationships/hyperlink" Target="https://leetcode.com/problems/first-missing-positive/" TargetMode="External"/><Relationship Id="rId81" Type="http://schemas.openxmlformats.org/officeDocument/2006/relationships/hyperlink" Target="https://leetcode.com/problems/maximum-average-subarray-i/" TargetMode="External"/><Relationship Id="rId82" Type="http://schemas.openxmlformats.org/officeDocument/2006/relationships/hyperlink" Target="https://leetcode.com/problems/maximum-average-subarray-i/" TargetMode="External"/><Relationship Id="rId83" Type="http://schemas.openxmlformats.org/officeDocument/2006/relationships/hyperlink" Target="https://leetcode.com/problems/maximum-number-of-vowels-in-a-substring-of-given-length/" TargetMode="External"/><Relationship Id="rId84" Type="http://schemas.openxmlformats.org/officeDocument/2006/relationships/hyperlink" Target="https://leetcode.com/problems/maximum-number-of-vowels-in-a-substring-of-given-length/" TargetMode="External"/><Relationship Id="rId85" Type="http://schemas.openxmlformats.org/officeDocument/2006/relationships/hyperlink" Target="https://leetcode.com/problems/permutation-in-string/" TargetMode="External"/><Relationship Id="rId86" Type="http://schemas.openxmlformats.org/officeDocument/2006/relationships/hyperlink" Target="https://leetcode.com/problems/permutation-in-string/" TargetMode="External"/><Relationship Id="rId87" Type="http://schemas.openxmlformats.org/officeDocument/2006/relationships/hyperlink" Target="https://leetcode.com/problems/find-all-anagrams-in-a-string/" TargetMode="External"/><Relationship Id="rId88" Type="http://schemas.openxmlformats.org/officeDocument/2006/relationships/hyperlink" Target="https://leetcode.com/problems/find-all-anagrams-in-a-string/" TargetMode="External"/><Relationship Id="rId89" Type="http://schemas.openxmlformats.org/officeDocument/2006/relationships/hyperlink" Target="https://leetcode.com/problems/maximum-points-you-can-obtain-from-cards/" TargetMode="External"/><Relationship Id="rId90" Type="http://schemas.openxmlformats.org/officeDocument/2006/relationships/hyperlink" Target="https://leetcode.com/problems/maximum-points-you-can-obtain-from-cards/" TargetMode="External"/><Relationship Id="rId91" Type="http://schemas.openxmlformats.org/officeDocument/2006/relationships/hyperlink" Target="https://leetcode.com/problems/maximum-sum-of-distinct-subarrays-with-length-k/" TargetMode="External"/><Relationship Id="rId92" Type="http://schemas.openxmlformats.org/officeDocument/2006/relationships/hyperlink" Target="https://leetcode.com/problems/maximum-sum-of-distinct-subarrays-with-length-k/" TargetMode="External"/><Relationship Id="rId93" Type="http://schemas.openxmlformats.org/officeDocument/2006/relationships/hyperlink" Target="https://leetcode.com/problems/substring-with-concatenation-of-all-words/" TargetMode="External"/><Relationship Id="rId94" Type="http://schemas.openxmlformats.org/officeDocument/2006/relationships/hyperlink" Target="https://leetcode.com/problems/substring-with-concatenation-of-all-words/" TargetMode="External"/><Relationship Id="rId95" Type="http://schemas.openxmlformats.org/officeDocument/2006/relationships/hyperlink" Target="https://leetcode.com/problems/longest-substring-without-repeating-characters/" TargetMode="External"/><Relationship Id="rId96" Type="http://schemas.openxmlformats.org/officeDocument/2006/relationships/hyperlink" Target="https://leetcode.com/problems/longest-substring-without-repeating-characters/" TargetMode="External"/><Relationship Id="rId97" Type="http://schemas.openxmlformats.org/officeDocument/2006/relationships/hyperlink" Target="https://leetcode.com/problems/minimum-size-subarray-sum/" TargetMode="External"/><Relationship Id="rId98" Type="http://schemas.openxmlformats.org/officeDocument/2006/relationships/hyperlink" Target="https://leetcode.com/problems/minimum-size-subarray-sum/" TargetMode="External"/><Relationship Id="rId99" Type="http://schemas.openxmlformats.org/officeDocument/2006/relationships/hyperlink" Target="https://leetcode.com/problems/longest-repeating-character-replacement/" TargetMode="External"/><Relationship Id="rId100" Type="http://schemas.openxmlformats.org/officeDocument/2006/relationships/hyperlink" Target="https://leetcode.com/problems/longest-repeating-character-replacement/" TargetMode="External"/><Relationship Id="rId101" Type="http://schemas.openxmlformats.org/officeDocument/2006/relationships/hyperlink" Target="https://leetcode.com/problems/max-consecutive-ones-iii/" TargetMode="External"/><Relationship Id="rId102" Type="http://schemas.openxmlformats.org/officeDocument/2006/relationships/hyperlink" Target="https://leetcode.com/problems/max-consecutive-ones-iii/" TargetMode="External"/><Relationship Id="rId103" Type="http://schemas.openxmlformats.org/officeDocument/2006/relationships/hyperlink" Target="https://leetcode.com/problems/fruit-into-baskets/" TargetMode="External"/><Relationship Id="rId104" Type="http://schemas.openxmlformats.org/officeDocument/2006/relationships/hyperlink" Target="https://leetcode.com/problems/fruit-into-baskets/" TargetMode="External"/><Relationship Id="rId105" Type="http://schemas.openxmlformats.org/officeDocument/2006/relationships/hyperlink" Target="https://leetcode.com/problems/longest-subarray-of-1s-after-deleting-one-element/" TargetMode="External"/><Relationship Id="rId106" Type="http://schemas.openxmlformats.org/officeDocument/2006/relationships/hyperlink" Target="https://leetcode.com/problems/longest-subarray-of-1s-after-deleting-one-element/" TargetMode="External"/><Relationship Id="rId107" Type="http://schemas.openxmlformats.org/officeDocument/2006/relationships/hyperlink" Target="https://leetcode.com/problems/minimum-window-substring/" TargetMode="External"/><Relationship Id="rId108" Type="http://schemas.openxmlformats.org/officeDocument/2006/relationships/hyperlink" Target="https://leetcode.com/problems/minimum-window-substring/" TargetMode="External"/><Relationship Id="rId109" Type="http://schemas.openxmlformats.org/officeDocument/2006/relationships/hyperlink" Target="https://leetcode.com/problems/subarray-product-less-than-k/" TargetMode="External"/><Relationship Id="rId110" Type="http://schemas.openxmlformats.org/officeDocument/2006/relationships/hyperlink" Target="https://leetcode.com/problems/subarray-product-less-than-k/" TargetMode="External"/><Relationship Id="rId111" Type="http://schemas.openxmlformats.org/officeDocument/2006/relationships/hyperlink" Target="https://leetcode.com/problems/binary-subarrays-with-sum/" TargetMode="External"/><Relationship Id="rId112" Type="http://schemas.openxmlformats.org/officeDocument/2006/relationships/hyperlink" Target="https://leetcode.com/problems/binary-subarrays-with-sum/" TargetMode="External"/><Relationship Id="rId113" Type="http://schemas.openxmlformats.org/officeDocument/2006/relationships/hyperlink" Target="https://leetcode.com/problems/count-number-of-nice-subarrays/" TargetMode="External"/><Relationship Id="rId114" Type="http://schemas.openxmlformats.org/officeDocument/2006/relationships/hyperlink" Target="https://leetcode.com/problems/count-number-of-nice-subarrays/" TargetMode="External"/><Relationship Id="rId115" Type="http://schemas.openxmlformats.org/officeDocument/2006/relationships/hyperlink" Target="https://leetcode.com/problems/number-of-substrings-containing-all-three-characters/" TargetMode="External"/><Relationship Id="rId116" Type="http://schemas.openxmlformats.org/officeDocument/2006/relationships/hyperlink" Target="https://leetcode.com/problems/number-of-substrings-containing-all-three-characters/" TargetMode="External"/><Relationship Id="rId117" Type="http://schemas.openxmlformats.org/officeDocument/2006/relationships/hyperlink" Target="https://leetcode.com/problems/longest-substring-with-at-most-k-distinct-characters/" TargetMode="External"/><Relationship Id="rId118" Type="http://schemas.openxmlformats.org/officeDocument/2006/relationships/hyperlink" Target="https://leetcode.com/problems/longest-substring-with-at-most-k-distinct-characters/" TargetMode="External"/><Relationship Id="rId119" Type="http://schemas.openxmlformats.org/officeDocument/2006/relationships/hyperlink" Target="https://leetcode.com/problems/subarrays-with-k-different-integers/" TargetMode="External"/><Relationship Id="rId120" Type="http://schemas.openxmlformats.org/officeDocument/2006/relationships/hyperlink" Target="https://leetcode.com/problems/subarrays-with-k-different-integers/" TargetMode="External"/><Relationship Id="rId121" Type="http://schemas.openxmlformats.org/officeDocument/2006/relationships/hyperlink" Target="https://leetcode.com/problems/count-subarrays-with-score-less-than-k/" TargetMode="External"/><Relationship Id="rId122" Type="http://schemas.openxmlformats.org/officeDocument/2006/relationships/hyperlink" Target="https://leetcode.com/problems/count-subarrays-with-score-less-than-k/" TargetMode="External"/><Relationship Id="rId123" Type="http://schemas.openxmlformats.org/officeDocument/2006/relationships/hyperlink" Target="https://leetcode.com/problems/longest-continuous-subarray-with-absolute-diff-less-than-or-equal-to-limit/" TargetMode="External"/><Relationship Id="rId124" Type="http://schemas.openxmlformats.org/officeDocument/2006/relationships/hyperlink" Target="https://leetcode.com/problems/longest-continuous-subarray-with-absolute-diff-less-than-or-equal-to-limit/" TargetMode="External"/><Relationship Id="rId125" Type="http://schemas.openxmlformats.org/officeDocument/2006/relationships/hyperlink" Target="https://leetcode.com/problems/jump-game-vi/" TargetMode="External"/><Relationship Id="rId126" Type="http://schemas.openxmlformats.org/officeDocument/2006/relationships/hyperlink" Target="https://leetcode.com/problems/jump-game-vi/" TargetMode="External"/><Relationship Id="rId127" Type="http://schemas.openxmlformats.org/officeDocument/2006/relationships/hyperlink" Target="https://leetcode.com/problems/sliding-window-maximum/" TargetMode="External"/><Relationship Id="rId128" Type="http://schemas.openxmlformats.org/officeDocument/2006/relationships/hyperlink" Target="https://leetcode.com/problems/sliding-window-maximum/" TargetMode="External"/><Relationship Id="rId129" Type="http://schemas.openxmlformats.org/officeDocument/2006/relationships/hyperlink" Target="https://leetcode.com/problems/shortest-subarray-with-sum-at-least-k/" TargetMode="External"/><Relationship Id="rId130" Type="http://schemas.openxmlformats.org/officeDocument/2006/relationships/hyperlink" Target="https://leetcode.com/problems/shortest-subarray-with-sum-at-least-k/" TargetMode="External"/><Relationship Id="rId131" Type="http://schemas.openxmlformats.org/officeDocument/2006/relationships/hyperlink" Target="https://leetcode.com/problems/max-value-of-equation/" TargetMode="External"/><Relationship Id="rId132" Type="http://schemas.openxmlformats.org/officeDocument/2006/relationships/hyperlink" Target="https://leetcode.com/problems/max-value-of-equation/" TargetMode="External"/><Relationship Id="rId133" Type="http://schemas.openxmlformats.org/officeDocument/2006/relationships/hyperlink" Target="https://leetcode.com/problems/running-sum-of-1d-array/" TargetMode="External"/><Relationship Id="rId134" Type="http://schemas.openxmlformats.org/officeDocument/2006/relationships/hyperlink" Target="https://leetcode.com/problems/running-sum-of-1d-array/" TargetMode="External"/><Relationship Id="rId135" Type="http://schemas.openxmlformats.org/officeDocument/2006/relationships/hyperlink" Target="https://leetcode.com/problems/range-sum-query-immutable/" TargetMode="External"/><Relationship Id="rId136" Type="http://schemas.openxmlformats.org/officeDocument/2006/relationships/hyperlink" Target="https://leetcode.com/problems/range-sum-query-immutable/" TargetMode="External"/><Relationship Id="rId137" Type="http://schemas.openxmlformats.org/officeDocument/2006/relationships/hyperlink" Target="https://leetcode.com/problems/find-pivot-index/" TargetMode="External"/><Relationship Id="rId138" Type="http://schemas.openxmlformats.org/officeDocument/2006/relationships/hyperlink" Target="https://leetcode.com/problems/find-pivot-index/" TargetMode="External"/><Relationship Id="rId139" Type="http://schemas.openxmlformats.org/officeDocument/2006/relationships/hyperlink" Target="https://leetcode.com/problems/subarray-sum-equals-k/" TargetMode="External"/><Relationship Id="rId140" Type="http://schemas.openxmlformats.org/officeDocument/2006/relationships/hyperlink" Target="https://leetcode.com/problems/subarray-sum-equals-k/" TargetMode="External"/><Relationship Id="rId141" Type="http://schemas.openxmlformats.org/officeDocument/2006/relationships/hyperlink" Target="https://leetcode.com/problems/subarray-sums-divisible-by-k/" TargetMode="External"/><Relationship Id="rId142" Type="http://schemas.openxmlformats.org/officeDocument/2006/relationships/hyperlink" Target="https://leetcode.com/problems/subarray-sums-divisible-by-k/" TargetMode="External"/><Relationship Id="rId143" Type="http://schemas.openxmlformats.org/officeDocument/2006/relationships/hyperlink" Target="https://leetcode.com/problems/continuous-subarray-sum/" TargetMode="External"/><Relationship Id="rId144" Type="http://schemas.openxmlformats.org/officeDocument/2006/relationships/hyperlink" Target="https://leetcode.com/problems/continuous-subarray-sum/" TargetMode="External"/><Relationship Id="rId145" Type="http://schemas.openxmlformats.org/officeDocument/2006/relationships/hyperlink" Target="https://leetcode.com/problems/contiguous-array/" TargetMode="External"/><Relationship Id="rId146" Type="http://schemas.openxmlformats.org/officeDocument/2006/relationships/hyperlink" Target="https://leetcode.com/problems/contiguous-array/" TargetMode="External"/><Relationship Id="rId147" Type="http://schemas.openxmlformats.org/officeDocument/2006/relationships/hyperlink" Target="https://leetcode.com/problems/number-of-submatrices-that-sum-to-target/" TargetMode="External"/><Relationship Id="rId148" Type="http://schemas.openxmlformats.org/officeDocument/2006/relationships/hyperlink" Target="https://leetcode.com/problems/number-of-submatrices-that-sum-to-target/" TargetMode="External"/><Relationship Id="rId149" Type="http://schemas.openxmlformats.org/officeDocument/2006/relationships/hyperlink" Target="https://leetcode.com/problems/range-sum-query-2d-immutable/" TargetMode="External"/><Relationship Id="rId150" Type="http://schemas.openxmlformats.org/officeDocument/2006/relationships/hyperlink" Target="https://leetcode.com/problems/range-sum-query-2d-immutable/" TargetMode="External"/><Relationship Id="rId151" Type="http://schemas.openxmlformats.org/officeDocument/2006/relationships/hyperlink" Target="https://leetcode.com/problems/matrix-block-sum/" TargetMode="External"/><Relationship Id="rId152" Type="http://schemas.openxmlformats.org/officeDocument/2006/relationships/hyperlink" Target="https://leetcode.com/problems/matrix-block-sum/" TargetMode="External"/><Relationship Id="rId153" Type="http://schemas.openxmlformats.org/officeDocument/2006/relationships/hyperlink" Target="https://leetcode.com/problems/car-pooling/" TargetMode="External"/><Relationship Id="rId154" Type="http://schemas.openxmlformats.org/officeDocument/2006/relationships/hyperlink" Target="https://leetcode.com/problems/car-pooling/" TargetMode="External"/><Relationship Id="rId155" Type="http://schemas.openxmlformats.org/officeDocument/2006/relationships/hyperlink" Target="https://leetcode.com/problems/corporate-flight-bookings/" TargetMode="External"/><Relationship Id="rId156" Type="http://schemas.openxmlformats.org/officeDocument/2006/relationships/hyperlink" Target="https://leetcode.com/problems/corporate-flight-bookings/" TargetMode="External"/><Relationship Id="rId157" Type="http://schemas.openxmlformats.org/officeDocument/2006/relationships/hyperlink" Target="https://leetcode.com/problems/shifting-letters-ii/" TargetMode="External"/><Relationship Id="rId158" Type="http://schemas.openxmlformats.org/officeDocument/2006/relationships/hyperlink" Target="https://leetcode.com/problems/shifting-letters-ii/" TargetMode="External"/><Relationship Id="rId159" Type="http://schemas.openxmlformats.org/officeDocument/2006/relationships/hyperlink" Target="https://leetcode.com/problems/product-of-array-except-self/" TargetMode="External"/><Relationship Id="rId160" Type="http://schemas.openxmlformats.org/officeDocument/2006/relationships/hyperlink" Target="https://leetcode.com/problems/product-of-array-except-self/" TargetMode="External"/><Relationship Id="rId161" Type="http://schemas.openxmlformats.org/officeDocument/2006/relationships/hyperlink" Target="https://leetcode.com/problems/minimum-penalty-for-a-shop/" TargetMode="External"/><Relationship Id="rId162" Type="http://schemas.openxmlformats.org/officeDocument/2006/relationships/hyperlink" Target="https://leetcode.com/problems/minimum-penalty-for-a-shop/" TargetMode="External"/><Relationship Id="rId163" Type="http://schemas.openxmlformats.org/officeDocument/2006/relationships/hyperlink" Target="https://leetcode.com/problems/best-time-to-buy-and-sell-stock/" TargetMode="External"/><Relationship Id="rId164" Type="http://schemas.openxmlformats.org/officeDocument/2006/relationships/hyperlink" Target="https://leetcode.com/problems/best-time-to-buy-and-sell-stock/" TargetMode="External"/><Relationship Id="rId165" Type="http://schemas.openxmlformats.org/officeDocument/2006/relationships/hyperlink" Target="https://leetcode.com/problems/maximum-subarray/" TargetMode="External"/><Relationship Id="rId166" Type="http://schemas.openxmlformats.org/officeDocument/2006/relationships/hyperlink" Target="https://leetcode.com/problems/maximum-subarray/" TargetMode="External"/><Relationship Id="rId167" Type="http://schemas.openxmlformats.org/officeDocument/2006/relationships/hyperlink" Target="https://leetcode.com/problems/maximum-absolute-sum-of-any-subarray/" TargetMode="External"/><Relationship Id="rId168" Type="http://schemas.openxmlformats.org/officeDocument/2006/relationships/hyperlink" Target="https://leetcode.com/problems/maximum-absolute-sum-of-any-subarray/" TargetMode="External"/><Relationship Id="rId169" Type="http://schemas.openxmlformats.org/officeDocument/2006/relationships/hyperlink" Target="https://leetcode.com/problems/maximum-product-subarray/" TargetMode="External"/><Relationship Id="rId170" Type="http://schemas.openxmlformats.org/officeDocument/2006/relationships/hyperlink" Target="https://leetcode.com/problems/maximum-product-subarray/" TargetMode="External"/><Relationship Id="rId171" Type="http://schemas.openxmlformats.org/officeDocument/2006/relationships/hyperlink" Target="https://leetcode.com/problems/maximum-sum-circular-subarray/" TargetMode="External"/><Relationship Id="rId172" Type="http://schemas.openxmlformats.org/officeDocument/2006/relationships/hyperlink" Target="https://leetcode.com/problems/maximum-sum-circular-subarray/" TargetMode="External"/><Relationship Id="rId173" Type="http://schemas.openxmlformats.org/officeDocument/2006/relationships/hyperlink" Target="https://leetcode.com/problems/maximum-subarray-sum-with-one-deletion/" TargetMode="External"/><Relationship Id="rId174" Type="http://schemas.openxmlformats.org/officeDocument/2006/relationships/hyperlink" Target="https://leetcode.com/problems/maximum-subarray-sum-with-one-deletion/" TargetMode="External"/><Relationship Id="rId175" Type="http://schemas.openxmlformats.org/officeDocument/2006/relationships/hyperlink" Target="https://leetcode.com/problems/valid-palindrome-ii/" TargetMode="External"/><Relationship Id="rId176" Type="http://schemas.openxmlformats.org/officeDocument/2006/relationships/hyperlink" Target="https://leetcode.com/problems/valid-palindrome-ii/" TargetMode="External"/><Relationship Id="rId177" Type="http://schemas.openxmlformats.org/officeDocument/2006/relationships/hyperlink" Target="https://leetcode.com/problems/palindrome-number/" TargetMode="External"/><Relationship Id="rId178" Type="http://schemas.openxmlformats.org/officeDocument/2006/relationships/hyperlink" Target="https://leetcode.com/problems/palindrome-number/" TargetMode="External"/><Relationship Id="rId179" Type="http://schemas.openxmlformats.org/officeDocument/2006/relationships/hyperlink" Target="https://leetcode.com/problems/longest-palindromic-substring/" TargetMode="External"/><Relationship Id="rId180" Type="http://schemas.openxmlformats.org/officeDocument/2006/relationships/hyperlink" Target="https://leetcode.com/problems/longest-palindromic-substring/" TargetMode="External"/><Relationship Id="rId181" Type="http://schemas.openxmlformats.org/officeDocument/2006/relationships/hyperlink" Target="https://leetcode.com/problems/palindromic-substrings/" TargetMode="External"/><Relationship Id="rId182" Type="http://schemas.openxmlformats.org/officeDocument/2006/relationships/hyperlink" Target="https://leetcode.com/problems/palindromic-substrings/" TargetMode="External"/><Relationship Id="rId183" Type="http://schemas.openxmlformats.org/officeDocument/2006/relationships/hyperlink" Target="https://leetcode.com/problems/longest-palindrome/" TargetMode="External"/><Relationship Id="rId184" Type="http://schemas.openxmlformats.org/officeDocument/2006/relationships/hyperlink" Target="https://leetcode.com/problems/longest-palindrome/" TargetMode="External"/><Relationship Id="rId185" Type="http://schemas.openxmlformats.org/officeDocument/2006/relationships/hyperlink" Target="https://leetcode.com/problems/shortest-palindrome/" TargetMode="External"/><Relationship Id="rId186" Type="http://schemas.openxmlformats.org/officeDocument/2006/relationships/hyperlink" Target="https://leetcode.com/problems/shortest-palindrome/" TargetMode="External"/><Relationship Id="rId187" Type="http://schemas.openxmlformats.org/officeDocument/2006/relationships/hyperlink" Target="https://leetcode.com/problems/palindrome-pairs/" TargetMode="External"/><Relationship Id="rId188" Type="http://schemas.openxmlformats.org/officeDocument/2006/relationships/hyperlink" Target="https://leetcode.com/problems/palindrome-pairs/" TargetMode="External"/><Relationship Id="rId189" Type="http://schemas.openxmlformats.org/officeDocument/2006/relationships/hyperlink" Target="https://leetcode.com/problems/valid-anagram/" TargetMode="External"/><Relationship Id="rId190" Type="http://schemas.openxmlformats.org/officeDocument/2006/relationships/hyperlink" Target="https://leetcode.com/problems/valid-anagram/" TargetMode="External"/><Relationship Id="rId191" Type="http://schemas.openxmlformats.org/officeDocument/2006/relationships/hyperlink" Target="https://leetcode.com/problems/ransom-note/" TargetMode="External"/><Relationship Id="rId192" Type="http://schemas.openxmlformats.org/officeDocument/2006/relationships/hyperlink" Target="https://leetcode.com/problems/ransom-note/" TargetMode="External"/><Relationship Id="rId193" Type="http://schemas.openxmlformats.org/officeDocument/2006/relationships/hyperlink" Target="https://leetcode.com/problems/first-unique-character-in-a-string/" TargetMode="External"/><Relationship Id="rId194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group-anagrams/" TargetMode="External"/><Relationship Id="rId196" Type="http://schemas.openxmlformats.org/officeDocument/2006/relationships/hyperlink" Target="https://leetcode.com/problems/group-anagrams/" TargetMode="External"/><Relationship Id="rId197" Type="http://schemas.openxmlformats.org/officeDocument/2006/relationships/hyperlink" Target="https://leetcode.com/problems/determine-if-two-strings-are-close/" TargetMode="External"/><Relationship Id="rId198" Type="http://schemas.openxmlformats.org/officeDocument/2006/relationships/hyperlink" Target="https://leetcode.com/problems/determine-if-two-strings-are-close/" TargetMode="External"/><Relationship Id="rId199" Type="http://schemas.openxmlformats.org/officeDocument/2006/relationships/hyperlink" Target="https://leetcode.com/problems/sort-characters-by-frequency/" TargetMode="External"/><Relationship Id="rId200" Type="http://schemas.openxmlformats.org/officeDocument/2006/relationships/hyperlink" Target="https://leetcode.com/problems/sort-characters-by-frequency/" TargetMode="External"/><Relationship Id="rId201" Type="http://schemas.openxmlformats.org/officeDocument/2006/relationships/hyperlink" Target="https://leetcode.com/problems/isomorphic-strings/" TargetMode="External"/><Relationship Id="rId202" Type="http://schemas.openxmlformats.org/officeDocument/2006/relationships/hyperlink" Target="https://leetcode.com/problems/isomorphic-strings/" TargetMode="External"/><Relationship Id="rId203" Type="http://schemas.openxmlformats.org/officeDocument/2006/relationships/hyperlink" Target="https://leetcode.com/problems/word-pattern/" TargetMode="External"/><Relationship Id="rId204" Type="http://schemas.openxmlformats.org/officeDocument/2006/relationships/hyperlink" Target="https://leetcode.com/problems/word-pattern/" TargetMode="External"/><Relationship Id="rId205" Type="http://schemas.openxmlformats.org/officeDocument/2006/relationships/hyperlink" Target="https://leetcode.com/problems/number-of-matching-subsequences/" TargetMode="External"/><Relationship Id="rId206" Type="http://schemas.openxmlformats.org/officeDocument/2006/relationships/hyperlink" Target="https://leetcode.com/problems/number-of-matching-subsequences/" TargetMode="External"/><Relationship Id="rId207" Type="http://schemas.openxmlformats.org/officeDocument/2006/relationships/hyperlink" Target="https://leetcode.com/problems/find-the-index-of-the-first-occurrence-in-a-string/" TargetMode="External"/><Relationship Id="rId208" Type="http://schemas.openxmlformats.org/officeDocument/2006/relationships/hyperlink" Target="https://leetcode.com/problems/find-the-index-of-the-first-occurrence-in-a-string/" TargetMode="External"/><Relationship Id="rId209" Type="http://schemas.openxmlformats.org/officeDocument/2006/relationships/hyperlink" Target="https://leetcode.com/problems/repeated-substring-pattern/" TargetMode="External"/><Relationship Id="rId210" Type="http://schemas.openxmlformats.org/officeDocument/2006/relationships/hyperlink" Target="https://leetcode.com/problems/repeated-substring-pattern/" TargetMode="External"/><Relationship Id="rId211" Type="http://schemas.openxmlformats.org/officeDocument/2006/relationships/hyperlink" Target="https://leetcode.com/problems/longest-happy-prefix/" TargetMode="External"/><Relationship Id="rId212" Type="http://schemas.openxmlformats.org/officeDocument/2006/relationships/hyperlink" Target="https://leetcode.com/problems/longest-happy-prefix/" TargetMode="External"/><Relationship Id="rId213" Type="http://schemas.openxmlformats.org/officeDocument/2006/relationships/hyperlink" Target="https://leetcode.com/problems/repeated-dna-sequences/" TargetMode="External"/><Relationship Id="rId214" Type="http://schemas.openxmlformats.org/officeDocument/2006/relationships/hyperlink" Target="https://leetcode.com/problems/repeated-dna-sequences/" TargetMode="External"/><Relationship Id="rId215" Type="http://schemas.openxmlformats.org/officeDocument/2006/relationships/hyperlink" Target="https://leetcode.com/problems/repeated-string-match/" TargetMode="External"/><Relationship Id="rId216" Type="http://schemas.openxmlformats.org/officeDocument/2006/relationships/hyperlink" Target="https://leetcode.com/problems/repeated-string-match/" TargetMode="External"/><Relationship Id="rId217" Type="http://schemas.openxmlformats.org/officeDocument/2006/relationships/hyperlink" Target="https://leetcode.com/problems/longest-duplicate-substring/" TargetMode="External"/><Relationship Id="rId218" Type="http://schemas.openxmlformats.org/officeDocument/2006/relationships/hyperlink" Target="https://leetcode.com/problems/longest-duplicate-substring/" TargetMode="External"/><Relationship Id="rId219" Type="http://schemas.openxmlformats.org/officeDocument/2006/relationships/hyperlink" Target="https://leetcode.com/problems/sum-of-scores-of-built-strings/" TargetMode="External"/><Relationship Id="rId220" Type="http://schemas.openxmlformats.org/officeDocument/2006/relationships/hyperlink" Target="https://leetcode.com/problems/sum-of-scores-of-built-strings/" TargetMode="External"/><Relationship Id="rId221" Type="http://schemas.openxmlformats.org/officeDocument/2006/relationships/hyperlink" Target="https://leetcode.com/problems/roman-to-integer/" TargetMode="External"/><Relationship Id="rId222" Type="http://schemas.openxmlformats.org/officeDocument/2006/relationships/hyperlink" Target="https://leetcode.com/problems/roman-to-integer/" TargetMode="External"/><Relationship Id="rId223" Type="http://schemas.openxmlformats.org/officeDocument/2006/relationships/hyperlink" Target="https://leetcode.com/problems/longest-common-prefix/" TargetMode="External"/><Relationship Id="rId224" Type="http://schemas.openxmlformats.org/officeDocument/2006/relationships/hyperlink" Target="https://leetcode.com/problems/longest-common-prefix/" TargetMode="External"/><Relationship Id="rId225" Type="http://schemas.openxmlformats.org/officeDocument/2006/relationships/hyperlink" Target="https://leetcode.com/problems/add-binary/" TargetMode="External"/><Relationship Id="rId226" Type="http://schemas.openxmlformats.org/officeDocument/2006/relationships/hyperlink" Target="https://leetcode.com/problems/add-binary/" TargetMode="External"/><Relationship Id="rId227" Type="http://schemas.openxmlformats.org/officeDocument/2006/relationships/hyperlink" Target="https://leetcode.com/problems/string-to-integer-atoi/" TargetMode="External"/><Relationship Id="rId228" Type="http://schemas.openxmlformats.org/officeDocument/2006/relationships/hyperlink" Target="https://leetcode.com/problems/string-to-integer-atoi/" TargetMode="External"/><Relationship Id="rId229" Type="http://schemas.openxmlformats.org/officeDocument/2006/relationships/hyperlink" Target="https://leetcode.com/problems/integer-to-roman/" TargetMode="External"/><Relationship Id="rId230" Type="http://schemas.openxmlformats.org/officeDocument/2006/relationships/hyperlink" Target="https://leetcode.com/problems/integer-to-roman/" TargetMode="External"/><Relationship Id="rId231" Type="http://schemas.openxmlformats.org/officeDocument/2006/relationships/hyperlink" Target="https://leetcode.com/problems/reverse-words-in-a-string/" TargetMode="External"/><Relationship Id="rId232" Type="http://schemas.openxmlformats.org/officeDocument/2006/relationships/hyperlink" Target="https://leetcode.com/problems/reverse-words-in-a-string/" TargetMode="External"/><Relationship Id="rId233" Type="http://schemas.openxmlformats.org/officeDocument/2006/relationships/hyperlink" Target="https://leetcode.com/problems/zigzag-conversion/" TargetMode="External"/><Relationship Id="rId234" Type="http://schemas.openxmlformats.org/officeDocument/2006/relationships/hyperlink" Target="https://leetcode.com/problems/zigzag-conversion/" TargetMode="External"/><Relationship Id="rId235" Type="http://schemas.openxmlformats.org/officeDocument/2006/relationships/hyperlink" Target="https://leetcode.com/problems/string-compression/" TargetMode="External"/><Relationship Id="rId236" Type="http://schemas.openxmlformats.org/officeDocument/2006/relationships/hyperlink" Target="https://leetcode.com/problems/string-compression/" TargetMode="External"/><Relationship Id="rId237" Type="http://schemas.openxmlformats.org/officeDocument/2006/relationships/hyperlink" Target="https://leetcode.com/problems/encode-and-decode-strings/" TargetMode="External"/><Relationship Id="rId238" Type="http://schemas.openxmlformats.org/officeDocument/2006/relationships/hyperlink" Target="https://leetcode.com/problems/encode-and-decode-strings/" TargetMode="External"/><Relationship Id="rId239" Type="http://schemas.openxmlformats.org/officeDocument/2006/relationships/hyperlink" Target="https://leetcode.com/problems/multiply-strings/" TargetMode="External"/><Relationship Id="rId240" Type="http://schemas.openxmlformats.org/officeDocument/2006/relationships/hyperlink" Target="https://leetcode.com/problems/multiply-strings/" TargetMode="External"/><Relationship Id="rId241" Type="http://schemas.openxmlformats.org/officeDocument/2006/relationships/hyperlink" Target="https://leetcode.com/problems/text-justification/" TargetMode="External"/><Relationship Id="rId242" Type="http://schemas.openxmlformats.org/officeDocument/2006/relationships/hyperlink" Target="https://leetcode.com/problems/text-justification/" TargetMode="External"/><Relationship Id="rId243" Type="http://schemas.openxmlformats.org/officeDocument/2006/relationships/hyperlink" Target="https://leetcode.com/problems/spiral-matrix/" TargetMode="External"/><Relationship Id="rId244" Type="http://schemas.openxmlformats.org/officeDocument/2006/relationships/hyperlink" Target="https://leetcode.com/problems/spiral-matrix/" TargetMode="External"/><Relationship Id="rId245" Type="http://schemas.openxmlformats.org/officeDocument/2006/relationships/hyperlink" Target="https://leetcode.com/problems/spiral-matrix-ii/" TargetMode="External"/><Relationship Id="rId246" Type="http://schemas.openxmlformats.org/officeDocument/2006/relationships/hyperlink" Target="https://leetcode.com/problems/spiral-matrix-ii/" TargetMode="External"/><Relationship Id="rId247" Type="http://schemas.openxmlformats.org/officeDocument/2006/relationships/hyperlink" Target="https://leetcode.com/problems/diagonal-traverse/" TargetMode="External"/><Relationship Id="rId248" Type="http://schemas.openxmlformats.org/officeDocument/2006/relationships/hyperlink" Target="https://leetcode.com/problems/diagonal-traverse/" TargetMode="External"/><Relationship Id="rId249" Type="http://schemas.openxmlformats.org/officeDocument/2006/relationships/hyperlink" Target="https://leetcode.com/problems/transpose-matrix/" TargetMode="External"/><Relationship Id="rId250" Type="http://schemas.openxmlformats.org/officeDocument/2006/relationships/hyperlink" Target="https://leetcode.com/problems/transpose-matrix/" TargetMode="External"/><Relationship Id="rId251" Type="http://schemas.openxmlformats.org/officeDocument/2006/relationships/hyperlink" Target="https://leetcode.com/problems/toeplitz-matrix/" TargetMode="External"/><Relationship Id="rId252" Type="http://schemas.openxmlformats.org/officeDocument/2006/relationships/hyperlink" Target="https://leetcode.com/problems/toeplitz-matrix/" TargetMode="External"/><Relationship Id="rId253" Type="http://schemas.openxmlformats.org/officeDocument/2006/relationships/hyperlink" Target="https://leetcode.com/problems/rotate-image/" TargetMode="External"/><Relationship Id="rId254" Type="http://schemas.openxmlformats.org/officeDocument/2006/relationships/hyperlink" Target="https://leetcode.com/problems/rotate-image/" TargetMode="External"/><Relationship Id="rId255" Type="http://schemas.openxmlformats.org/officeDocument/2006/relationships/hyperlink" Target="https://leetcode.com/problems/set-matrix-zeroes/" TargetMode="External"/><Relationship Id="rId256" Type="http://schemas.openxmlformats.org/officeDocument/2006/relationships/hyperlink" Target="https://leetcode.com/problems/set-matrix-zeroes/" TargetMode="External"/><Relationship Id="rId257" Type="http://schemas.openxmlformats.org/officeDocument/2006/relationships/hyperlink" Target="https://leetcode.com/problems/game-of-life/" TargetMode="External"/><Relationship Id="rId258" Type="http://schemas.openxmlformats.org/officeDocument/2006/relationships/hyperlink" Target="https://leetcode.com/problems/game-of-life/" TargetMode="External"/><Relationship Id="rId259" Type="http://schemas.openxmlformats.org/officeDocument/2006/relationships/hyperlink" Target="https://leetcode.com/problems/valid-parentheses/" TargetMode="External"/><Relationship Id="rId260" Type="http://schemas.openxmlformats.org/officeDocument/2006/relationships/hyperlink" Target="https://leetcode.com/problems/valid-parentheses/" TargetMode="External"/><Relationship Id="rId261" Type="http://schemas.openxmlformats.org/officeDocument/2006/relationships/hyperlink" Target="https://leetcode.com/problems/remove-all-adjacent-duplicates-in-string/" TargetMode="External"/><Relationship Id="rId262" Type="http://schemas.openxmlformats.org/officeDocument/2006/relationships/hyperlink" Target="https://leetcode.com/problems/remove-all-adjacent-duplicates-in-string/" TargetMode="External"/><Relationship Id="rId263" Type="http://schemas.openxmlformats.org/officeDocument/2006/relationships/hyperlink" Target="https://leetcode.com/problems/minimum-add-to-make-parentheses-valid/" TargetMode="External"/><Relationship Id="rId264" Type="http://schemas.openxmlformats.org/officeDocument/2006/relationships/hyperlink" Target="https://leetcode.com/problems/minimum-add-to-make-parentheses-valid/" TargetMode="External"/><Relationship Id="rId265" Type="http://schemas.openxmlformats.org/officeDocument/2006/relationships/hyperlink" Target="https://leetcode.com/problems/minimum-remove-to-make-valid-parentheses/" TargetMode="External"/><Relationship Id="rId266" Type="http://schemas.openxmlformats.org/officeDocument/2006/relationships/hyperlink" Target="https://leetcode.com/problems/minimum-remove-to-make-valid-parentheses/" TargetMode="External"/><Relationship Id="rId267" Type="http://schemas.openxmlformats.org/officeDocument/2006/relationships/hyperlink" Target="https://leetcode.com/problems/remove-all-adjacent-duplicates-in-string-ii/" TargetMode="External"/><Relationship Id="rId268" Type="http://schemas.openxmlformats.org/officeDocument/2006/relationships/hyperlink" Target="https://leetcode.com/problems/remove-all-adjacent-duplicates-in-string-ii/" TargetMode="External"/><Relationship Id="rId269" Type="http://schemas.openxmlformats.org/officeDocument/2006/relationships/hyperlink" Target="https://leetcode.com/problems/longest-valid-parentheses/" TargetMode="External"/><Relationship Id="rId270" Type="http://schemas.openxmlformats.org/officeDocument/2006/relationships/hyperlink" Target="https://leetcode.com/problems/longest-valid-parentheses/" TargetMode="External"/><Relationship Id="rId271" Type="http://schemas.openxmlformats.org/officeDocument/2006/relationships/hyperlink" Target="https://leetcode.com/problems/removing-stars-from-a-string/" TargetMode="External"/><Relationship Id="rId272" Type="http://schemas.openxmlformats.org/officeDocument/2006/relationships/hyperlink" Target="https://leetcode.com/problems/removing-stars-from-a-string/" TargetMode="External"/><Relationship Id="rId273" Type="http://schemas.openxmlformats.org/officeDocument/2006/relationships/hyperlink" Target="https://leetcode.com/problems/asteroid-collision/" TargetMode="External"/><Relationship Id="rId274" Type="http://schemas.openxmlformats.org/officeDocument/2006/relationships/hyperlink" Target="https://leetcode.com/problems/asteroid-collision/" TargetMode="External"/><Relationship Id="rId275" Type="http://schemas.openxmlformats.org/officeDocument/2006/relationships/hyperlink" Target="https://leetcode.com/problems/validate-stack-sequences/" TargetMode="External"/><Relationship Id="rId276" Type="http://schemas.openxmlformats.org/officeDocument/2006/relationships/hyperlink" Target="https://leetcode.com/problems/validate-stack-sequences/" TargetMode="External"/><Relationship Id="rId277" Type="http://schemas.openxmlformats.org/officeDocument/2006/relationships/hyperlink" Target="https://leetcode.com/problems/evaluate-reverse-polish-notation/" TargetMode="External"/><Relationship Id="rId278" Type="http://schemas.openxmlformats.org/officeDocument/2006/relationships/hyperlink" Target="https://leetcode.com/problems/evaluate-reverse-polish-notation/" TargetMode="External"/><Relationship Id="rId279" Type="http://schemas.openxmlformats.org/officeDocument/2006/relationships/hyperlink" Target="https://leetcode.com/problems/decode-string/" TargetMode="External"/><Relationship Id="rId280" Type="http://schemas.openxmlformats.org/officeDocument/2006/relationships/hyperlink" Target="https://leetcode.com/problems/decode-string/" TargetMode="External"/><Relationship Id="rId281" Type="http://schemas.openxmlformats.org/officeDocument/2006/relationships/hyperlink" Target="https://leetcode.com/problems/simplify-path/" TargetMode="External"/><Relationship Id="rId282" Type="http://schemas.openxmlformats.org/officeDocument/2006/relationships/hyperlink" Target="https://leetcode.com/problems/simplify-path/" TargetMode="External"/><Relationship Id="rId283" Type="http://schemas.openxmlformats.org/officeDocument/2006/relationships/hyperlink" Target="https://leetcode.com/problems/basic-calculator-ii/" TargetMode="External"/><Relationship Id="rId284" Type="http://schemas.openxmlformats.org/officeDocument/2006/relationships/hyperlink" Target="https://leetcode.com/problems/basic-calculator-ii/" TargetMode="External"/><Relationship Id="rId285" Type="http://schemas.openxmlformats.org/officeDocument/2006/relationships/hyperlink" Target="https://leetcode.com/problems/basic-calculator/" TargetMode="External"/><Relationship Id="rId286" Type="http://schemas.openxmlformats.org/officeDocument/2006/relationships/hyperlink" Target="https://leetcode.com/problems/basic-calculator/" TargetMode="External"/><Relationship Id="rId287" Type="http://schemas.openxmlformats.org/officeDocument/2006/relationships/hyperlink" Target="https://leetcode.com/problems/next-greater-element-i/" TargetMode="External"/><Relationship Id="rId288" Type="http://schemas.openxmlformats.org/officeDocument/2006/relationships/hyperlink" Target="https://leetcode.com/problems/next-greater-element-i/" TargetMode="External"/><Relationship Id="rId289" Type="http://schemas.openxmlformats.org/officeDocument/2006/relationships/hyperlink" Target="https://leetcode.com/problems/daily-temperatures/" TargetMode="External"/><Relationship Id="rId290" Type="http://schemas.openxmlformats.org/officeDocument/2006/relationships/hyperlink" Target="https://leetcode.com/problems/daily-temperatures/" TargetMode="External"/><Relationship Id="rId291" Type="http://schemas.openxmlformats.org/officeDocument/2006/relationships/hyperlink" Target="https://leetcode.com/problems/next-greater-element-ii/" TargetMode="External"/><Relationship Id="rId292" Type="http://schemas.openxmlformats.org/officeDocument/2006/relationships/hyperlink" Target="https://leetcode.com/problems/next-greater-element-ii/" TargetMode="External"/><Relationship Id="rId293" Type="http://schemas.openxmlformats.org/officeDocument/2006/relationships/hyperlink" Target="https://leetcode.com/problems/online-stock-span/" TargetMode="External"/><Relationship Id="rId294" Type="http://schemas.openxmlformats.org/officeDocument/2006/relationships/hyperlink" Target="https://leetcode.com/problems/online-stock-span/" TargetMode="External"/><Relationship Id="rId295" Type="http://schemas.openxmlformats.org/officeDocument/2006/relationships/hyperlink" Target="https://leetcode.com/problems/car-fleet/" TargetMode="External"/><Relationship Id="rId296" Type="http://schemas.openxmlformats.org/officeDocument/2006/relationships/hyperlink" Target="https://leetcode.com/problems/car-fleet/" TargetMode="External"/><Relationship Id="rId297" Type="http://schemas.openxmlformats.org/officeDocument/2006/relationships/hyperlink" Target="https://leetcode.com/problems/largest-rectangle-in-histogram/" TargetMode="External"/><Relationship Id="rId298" Type="http://schemas.openxmlformats.org/officeDocument/2006/relationships/hyperlink" Target="https://leetcode.com/problems/largest-rectangle-in-histogram/" TargetMode="External"/><Relationship Id="rId299" Type="http://schemas.openxmlformats.org/officeDocument/2006/relationships/hyperlink" Target="https://leetcode.com/problems/maximal-rectangle/" TargetMode="External"/><Relationship Id="rId300" Type="http://schemas.openxmlformats.org/officeDocument/2006/relationships/hyperlink" Target="https://leetcode.com/problems/maximal-rectangle/" TargetMode="External"/><Relationship Id="rId301" Type="http://schemas.openxmlformats.org/officeDocument/2006/relationships/hyperlink" Target="https://leetcode.com/problems/sum-of-subarray-minimums/" TargetMode="External"/><Relationship Id="rId302" Type="http://schemas.openxmlformats.org/officeDocument/2006/relationships/hyperlink" Target="https://leetcode.com/problems/sum-of-subarray-minimums/" TargetMode="External"/><Relationship Id="rId303" Type="http://schemas.openxmlformats.org/officeDocument/2006/relationships/hyperlink" Target="https://leetcode.com/problems/sum-of-subarray-ranges/" TargetMode="External"/><Relationship Id="rId304" Type="http://schemas.openxmlformats.org/officeDocument/2006/relationships/hyperlink" Target="https://leetcode.com/problems/sum-of-subarray-ranges/" TargetMode="External"/><Relationship Id="rId305" Type="http://schemas.openxmlformats.org/officeDocument/2006/relationships/hyperlink" Target="https://leetcode.com/problems/remove-k-digits/" TargetMode="External"/><Relationship Id="rId306" Type="http://schemas.openxmlformats.org/officeDocument/2006/relationships/hyperlink" Target="https://leetcode.com/problems/remove-k-digits/" TargetMode="External"/><Relationship Id="rId307" Type="http://schemas.openxmlformats.org/officeDocument/2006/relationships/hyperlink" Target="https://leetcode.com/problems/remove-duplicate-letters/" TargetMode="External"/><Relationship Id="rId308" Type="http://schemas.openxmlformats.org/officeDocument/2006/relationships/hyperlink" Target="https://leetcode.com/problems/remove-duplicate-letters/" TargetMode="External"/><Relationship Id="rId309" Type="http://schemas.openxmlformats.org/officeDocument/2006/relationships/hyperlink" Target="https://leetcode.com/problems/implement-queue-using-stacks/" TargetMode="External"/><Relationship Id="rId310" Type="http://schemas.openxmlformats.org/officeDocument/2006/relationships/hyperlink" Target="https://leetcode.com/problems/implement-queue-using-stacks/" TargetMode="External"/><Relationship Id="rId311" Type="http://schemas.openxmlformats.org/officeDocument/2006/relationships/hyperlink" Target="https://leetcode.com/problems/implement-stack-using-queues/" TargetMode="External"/><Relationship Id="rId312" Type="http://schemas.openxmlformats.org/officeDocument/2006/relationships/hyperlink" Target="https://leetcode.com/problems/implement-stack-using-queues/" TargetMode="External"/><Relationship Id="rId313" Type="http://schemas.openxmlformats.org/officeDocument/2006/relationships/hyperlink" Target="https://leetcode.com/problems/min-stack/" TargetMode="External"/><Relationship Id="rId314" Type="http://schemas.openxmlformats.org/officeDocument/2006/relationships/hyperlink" Target="https://leetcode.com/problems/min-stack/" TargetMode="External"/><Relationship Id="rId315" Type="http://schemas.openxmlformats.org/officeDocument/2006/relationships/hyperlink" Target="https://leetcode.com/problems/maximum-frequency-stack/" TargetMode="External"/><Relationship Id="rId316" Type="http://schemas.openxmlformats.org/officeDocument/2006/relationships/hyperlink" Target="https://leetcode.com/problems/maximum-frequency-stack/" TargetMode="External"/><Relationship Id="rId317" Type="http://schemas.openxmlformats.org/officeDocument/2006/relationships/hyperlink" Target="https://leetcode.com/problems/number-of-recent-calls/" TargetMode="External"/><Relationship Id="rId318" Type="http://schemas.openxmlformats.org/officeDocument/2006/relationships/hyperlink" Target="https://leetcode.com/problems/number-of-recent-calls/" TargetMode="External"/><Relationship Id="rId319" Type="http://schemas.openxmlformats.org/officeDocument/2006/relationships/hyperlink" Target="https://leetcode.com/problems/dota2-senate/" TargetMode="External"/><Relationship Id="rId320" Type="http://schemas.openxmlformats.org/officeDocument/2006/relationships/hyperlink" Target="https://leetcode.com/problems/dota2-senate/" TargetMode="External"/><Relationship Id="rId321" Type="http://schemas.openxmlformats.org/officeDocument/2006/relationships/hyperlink" Target="https://leetcode.com/problems/reveal-cards-in-increasing-order/" TargetMode="External"/><Relationship Id="rId322" Type="http://schemas.openxmlformats.org/officeDocument/2006/relationships/hyperlink" Target="https://leetcode.com/problems/reveal-cards-in-increasing-order/" TargetMode="External"/><Relationship Id="rId323" Type="http://schemas.openxmlformats.org/officeDocument/2006/relationships/hyperlink" Target="https://leetcode.com/problems/design-circular-queue/" TargetMode="External"/><Relationship Id="rId324" Type="http://schemas.openxmlformats.org/officeDocument/2006/relationships/hyperlink" Target="https://leetcode.com/problems/design-circular-queue/" TargetMode="External"/><Relationship Id="rId325" Type="http://schemas.openxmlformats.org/officeDocument/2006/relationships/hyperlink" Target="https://leetcode.com/problems/design-circular-deque/" TargetMode="External"/><Relationship Id="rId326" Type="http://schemas.openxmlformats.org/officeDocument/2006/relationships/hyperlink" Target="https://leetcode.com/problems/design-circular-deque/" TargetMode="External"/><Relationship Id="rId327" Type="http://schemas.openxmlformats.org/officeDocument/2006/relationships/hyperlink" Target="https://leetcode.com/problems/binary-search/" TargetMode="External"/><Relationship Id="rId328" Type="http://schemas.openxmlformats.org/officeDocument/2006/relationships/hyperlink" Target="https://leetcode.com/problems/binary-search/" TargetMode="External"/><Relationship Id="rId329" Type="http://schemas.openxmlformats.org/officeDocument/2006/relationships/hyperlink" Target="https://leetcode.com/problems/search-insert-position/" TargetMode="External"/><Relationship Id="rId330" Type="http://schemas.openxmlformats.org/officeDocument/2006/relationships/hyperlink" Target="https://leetcode.com/problems/search-insert-position/" TargetMode="External"/><Relationship Id="rId331" Type="http://schemas.openxmlformats.org/officeDocument/2006/relationships/hyperlink" Target="https://leetcode.com/problems/first-bad-version/" TargetMode="External"/><Relationship Id="rId332" Type="http://schemas.openxmlformats.org/officeDocument/2006/relationships/hyperlink" Target="https://leetcode.com/problems/first-bad-version/" TargetMode="External"/><Relationship Id="rId333" Type="http://schemas.openxmlformats.org/officeDocument/2006/relationships/hyperlink" Target="https://leetcode.com/problems/sqrtx/" TargetMode="External"/><Relationship Id="rId334" Type="http://schemas.openxmlformats.org/officeDocument/2006/relationships/hyperlink" Target="https://leetcode.com/problems/sqrtx/" TargetMode="External"/><Relationship Id="rId335" Type="http://schemas.openxmlformats.org/officeDocument/2006/relationships/hyperlink" Target="https://leetcode.com/problems/find-smallest-letter-greater-than-target/" TargetMode="External"/><Relationship Id="rId336" Type="http://schemas.openxmlformats.org/officeDocument/2006/relationships/hyperlink" Target="https://leetcode.com/problems/find-smallest-letter-greater-than-target/" TargetMode="External"/><Relationship Id="rId337" Type="http://schemas.openxmlformats.org/officeDocument/2006/relationships/hyperlink" Target="https://leetcode.com/problems/find-first-and-last-position-of-element-in-sorted-array/" TargetMode="External"/><Relationship Id="rId338" Type="http://schemas.openxmlformats.org/officeDocument/2006/relationships/hyperlink" Target="https://leetcode.com/problems/find-first-and-last-position-of-element-in-sorted-array/" TargetMode="External"/><Relationship Id="rId339" Type="http://schemas.openxmlformats.org/officeDocument/2006/relationships/hyperlink" Target="https://leetcode.com/problems/find-k-closest-elements/" TargetMode="External"/><Relationship Id="rId340" Type="http://schemas.openxmlformats.org/officeDocument/2006/relationships/hyperlink" Target="https://leetcode.com/problems/find-k-closest-elements/" TargetMode="External"/><Relationship Id="rId341" Type="http://schemas.openxmlformats.org/officeDocument/2006/relationships/hyperlink" Target="https://leetcode.com/problems/search-in-rotated-sorted-array/" TargetMode="External"/><Relationship Id="rId342" Type="http://schemas.openxmlformats.org/officeDocument/2006/relationships/hyperlink" Target="https://leetcode.com/problems/search-in-rotated-sorted-array/" TargetMode="External"/><Relationship Id="rId343" Type="http://schemas.openxmlformats.org/officeDocument/2006/relationships/hyperlink" Target="https://leetcode.com/problems/find-minimum-in-rotated-sorted-array/" TargetMode="External"/><Relationship Id="rId344" Type="http://schemas.openxmlformats.org/officeDocument/2006/relationships/hyperlink" Target="https://leetcode.com/problems/find-minimum-in-rotated-sorted-array/" TargetMode="External"/><Relationship Id="rId345" Type="http://schemas.openxmlformats.org/officeDocument/2006/relationships/hyperlink" Target="https://leetcode.com/problems/search-in-rotated-sorted-array-ii/" TargetMode="External"/><Relationship Id="rId346" Type="http://schemas.openxmlformats.org/officeDocument/2006/relationships/hyperlink" Target="https://leetcode.com/problems/search-in-rotated-sorted-array-ii/" TargetMode="External"/><Relationship Id="rId347" Type="http://schemas.openxmlformats.org/officeDocument/2006/relationships/hyperlink" Target="https://leetcode.com/problems/find-minimum-in-rotated-sorted-array-ii/" TargetMode="External"/><Relationship Id="rId348" Type="http://schemas.openxmlformats.org/officeDocument/2006/relationships/hyperlink" Target="https://leetcode.com/problems/find-minimum-in-rotated-sorted-array-ii/" TargetMode="External"/><Relationship Id="rId349" Type="http://schemas.openxmlformats.org/officeDocument/2006/relationships/hyperlink" Target="https://leetcode.com/problems/peak-index-in-a-mountain-array/" TargetMode="External"/><Relationship Id="rId350" Type="http://schemas.openxmlformats.org/officeDocument/2006/relationships/hyperlink" Target="https://leetcode.com/problems/peak-index-in-a-mountain-array/" TargetMode="External"/><Relationship Id="rId351" Type="http://schemas.openxmlformats.org/officeDocument/2006/relationships/hyperlink" Target="https://leetcode.com/problems/find-peak-element/" TargetMode="External"/><Relationship Id="rId352" Type="http://schemas.openxmlformats.org/officeDocument/2006/relationships/hyperlink" Target="https://leetcode.com/problems/find-peak-element/" TargetMode="External"/><Relationship Id="rId353" Type="http://schemas.openxmlformats.org/officeDocument/2006/relationships/hyperlink" Target="https://leetcode.com/problems/single-element-in-a-sorted-array/" TargetMode="External"/><Relationship Id="rId354" Type="http://schemas.openxmlformats.org/officeDocument/2006/relationships/hyperlink" Target="https://leetcode.com/problems/single-element-in-a-sorted-array/" TargetMode="External"/><Relationship Id="rId355" Type="http://schemas.openxmlformats.org/officeDocument/2006/relationships/hyperlink" Target="https://leetcode.com/problems/find-in-mountain-array/" TargetMode="External"/><Relationship Id="rId356" Type="http://schemas.openxmlformats.org/officeDocument/2006/relationships/hyperlink" Target="https://leetcode.com/problems/find-in-mountain-array/" TargetMode="External"/><Relationship Id="rId357" Type="http://schemas.openxmlformats.org/officeDocument/2006/relationships/hyperlink" Target="https://leetcode.com/problems/search-a-2d-matrix/" TargetMode="External"/><Relationship Id="rId358" Type="http://schemas.openxmlformats.org/officeDocument/2006/relationships/hyperlink" Target="https://leetcode.com/problems/search-a-2d-matrix/" TargetMode="External"/><Relationship Id="rId359" Type="http://schemas.openxmlformats.org/officeDocument/2006/relationships/hyperlink" Target="https://leetcode.com/problems/search-a-2d-matrix-ii/" TargetMode="External"/><Relationship Id="rId360" Type="http://schemas.openxmlformats.org/officeDocument/2006/relationships/hyperlink" Target="https://leetcode.com/problems/search-a-2d-matrix-ii/" TargetMode="External"/><Relationship Id="rId361" Type="http://schemas.openxmlformats.org/officeDocument/2006/relationships/hyperlink" Target="https://leetcode.com/problems/kth-smallest-element-in-a-sorted-matrix/" TargetMode="External"/><Relationship Id="rId362" Type="http://schemas.openxmlformats.org/officeDocument/2006/relationships/hyperlink" Target="https://leetcode.com/problems/kth-smallest-element-in-a-sorted-matrix/" TargetMode="External"/><Relationship Id="rId363" Type="http://schemas.openxmlformats.org/officeDocument/2006/relationships/hyperlink" Target="https://leetcode.com/problems/time-based-key-value-store/" TargetMode="External"/><Relationship Id="rId364" Type="http://schemas.openxmlformats.org/officeDocument/2006/relationships/hyperlink" Target="https://leetcode.com/problems/time-based-key-value-store/" TargetMode="External"/><Relationship Id="rId365" Type="http://schemas.openxmlformats.org/officeDocument/2006/relationships/hyperlink" Target="https://leetcode.com/problems/median-of-two-sorted-arrays/" TargetMode="External"/><Relationship Id="rId366" Type="http://schemas.openxmlformats.org/officeDocument/2006/relationships/hyperlink" Target="https://leetcode.com/problems/median-of-two-sorted-arrays/" TargetMode="External"/><Relationship Id="rId367" Type="http://schemas.openxmlformats.org/officeDocument/2006/relationships/hyperlink" Target="https://leetcode.com/problems/koko-eating-bananas/" TargetMode="External"/><Relationship Id="rId368" Type="http://schemas.openxmlformats.org/officeDocument/2006/relationships/hyperlink" Target="https://leetcode.com/problems/koko-eating-bananas/" TargetMode="External"/><Relationship Id="rId369" Type="http://schemas.openxmlformats.org/officeDocument/2006/relationships/hyperlink" Target="https://leetcode.com/problems/capacity-to-ship-packages-within-d-days/" TargetMode="External"/><Relationship Id="rId370" Type="http://schemas.openxmlformats.org/officeDocument/2006/relationships/hyperlink" Target="https://leetcode.com/problems/capacity-to-ship-packages-within-d-days/" TargetMode="External"/><Relationship Id="rId371" Type="http://schemas.openxmlformats.org/officeDocument/2006/relationships/hyperlink" Target="https://leetcode.com/problems/find-the-smallest-divisor-given-a-threshold/" TargetMode="External"/><Relationship Id="rId372" Type="http://schemas.openxmlformats.org/officeDocument/2006/relationships/hyperlink" Target="https://leetcode.com/problems/find-the-smallest-divisor-given-a-threshold/" TargetMode="External"/><Relationship Id="rId373" Type="http://schemas.openxmlformats.org/officeDocument/2006/relationships/hyperlink" Target="https://leetcode.com/problems/minimum-number-of-days-to-make-m-bouquets/" TargetMode="External"/><Relationship Id="rId374" Type="http://schemas.openxmlformats.org/officeDocument/2006/relationships/hyperlink" Target="https://leetcode.com/problems/minimum-number-of-days-to-make-m-bouquets/" TargetMode="External"/><Relationship Id="rId375" Type="http://schemas.openxmlformats.org/officeDocument/2006/relationships/hyperlink" Target="https://leetcode.com/problems/magnetic-force-between-two-balls/" TargetMode="External"/><Relationship Id="rId376" Type="http://schemas.openxmlformats.org/officeDocument/2006/relationships/hyperlink" Target="https://leetcode.com/problems/magnetic-force-between-two-balls/" TargetMode="External"/><Relationship Id="rId377" Type="http://schemas.openxmlformats.org/officeDocument/2006/relationships/hyperlink" Target="https://leetcode.com/problems/minimized-maximum-of-products-distributed-to-any-store/" TargetMode="External"/><Relationship Id="rId378" Type="http://schemas.openxmlformats.org/officeDocument/2006/relationships/hyperlink" Target="https://leetcode.com/problems/minimized-maximum-of-products-distributed-to-any-store/" TargetMode="External"/><Relationship Id="rId379" Type="http://schemas.openxmlformats.org/officeDocument/2006/relationships/hyperlink" Target="https://leetcode.com/problems/split-array-largest-sum/" TargetMode="External"/><Relationship Id="rId380" Type="http://schemas.openxmlformats.org/officeDocument/2006/relationships/hyperlink" Target="https://leetcode.com/problems/split-array-largest-sum/" TargetMode="External"/><Relationship Id="rId381" Type="http://schemas.openxmlformats.org/officeDocument/2006/relationships/hyperlink" Target="https://leetcode.com/problems/find-k-th-smallest-pair-distance/" TargetMode="External"/><Relationship Id="rId382" Type="http://schemas.openxmlformats.org/officeDocument/2006/relationships/hyperlink" Target="https://leetcode.com/problems/find-k-th-smallest-pair-distance/" TargetMode="External"/><Relationship Id="rId383" Type="http://schemas.openxmlformats.org/officeDocument/2006/relationships/hyperlink" Target="https://leetcode.com/problems/linked-list-cycle/" TargetMode="External"/><Relationship Id="rId384" Type="http://schemas.openxmlformats.org/officeDocument/2006/relationships/hyperlink" Target="https://leetcode.com/problems/linked-list-cycle/" TargetMode="External"/><Relationship Id="rId385" Type="http://schemas.openxmlformats.org/officeDocument/2006/relationships/hyperlink" Target="https://leetcode.com/problems/linked-list-cycle-ii/" TargetMode="External"/><Relationship Id="rId386" Type="http://schemas.openxmlformats.org/officeDocument/2006/relationships/hyperlink" Target="https://leetcode.com/problems/linked-list-cycle-ii/" TargetMode="External"/><Relationship Id="rId387" Type="http://schemas.openxmlformats.org/officeDocument/2006/relationships/hyperlink" Target="https://leetcode.com/problems/middle-of-the-linked-list/" TargetMode="External"/><Relationship Id="rId388" Type="http://schemas.openxmlformats.org/officeDocument/2006/relationships/hyperlink" Target="https://leetcode.com/problems/middle-of-the-linked-list/" TargetMode="External"/><Relationship Id="rId389" Type="http://schemas.openxmlformats.org/officeDocument/2006/relationships/hyperlink" Target="https://leetcode.com/problems/palindrome-linked-list/" TargetMode="External"/><Relationship Id="rId390" Type="http://schemas.openxmlformats.org/officeDocument/2006/relationships/hyperlink" Target="https://leetcode.com/problems/palindrome-linked-list/" TargetMode="External"/><Relationship Id="rId391" Type="http://schemas.openxmlformats.org/officeDocument/2006/relationships/hyperlink" Target="https://leetcode.com/problems/delete-the-middle-node-of-a-linked-list/" TargetMode="External"/><Relationship Id="rId392" Type="http://schemas.openxmlformats.org/officeDocument/2006/relationships/hyperlink" Target="https://leetcode.com/problems/delete-the-middle-node-of-a-linked-list/" TargetMode="External"/><Relationship Id="rId393" Type="http://schemas.openxmlformats.org/officeDocument/2006/relationships/hyperlink" Target="https://leetcode.com/problems/reverse-linked-list/" TargetMode="External"/><Relationship Id="rId394" Type="http://schemas.openxmlformats.org/officeDocument/2006/relationships/hyperlink" Target="https://leetcode.com/problems/reverse-linked-list/" TargetMode="External"/><Relationship Id="rId395" Type="http://schemas.openxmlformats.org/officeDocument/2006/relationships/hyperlink" Target="https://leetcode.com/problems/reverse-linked-list-ii/" TargetMode="External"/><Relationship Id="rId396" Type="http://schemas.openxmlformats.org/officeDocument/2006/relationships/hyperlink" Target="https://leetcode.com/problems/reverse-linked-list-ii/" TargetMode="External"/><Relationship Id="rId397" Type="http://schemas.openxmlformats.org/officeDocument/2006/relationships/hyperlink" Target="https://leetcode.com/problems/swap-nodes-in-pairs/" TargetMode="External"/><Relationship Id="rId398" Type="http://schemas.openxmlformats.org/officeDocument/2006/relationships/hyperlink" Target="https://leetcode.com/problems/swap-nodes-in-pairs/" TargetMode="External"/><Relationship Id="rId399" Type="http://schemas.openxmlformats.org/officeDocument/2006/relationships/hyperlink" Target="https://leetcode.com/problems/maximum-twin-sum-of-a-linked-list/" TargetMode="External"/><Relationship Id="rId400" Type="http://schemas.openxmlformats.org/officeDocument/2006/relationships/hyperlink" Target="https://leetcode.com/problems/maximum-twin-sum-of-a-linked-list/" TargetMode="External"/><Relationship Id="rId401" Type="http://schemas.openxmlformats.org/officeDocument/2006/relationships/hyperlink" Target="https://leetcode.com/problems/reverse-nodes-in-k-group/" TargetMode="External"/><Relationship Id="rId402" Type="http://schemas.openxmlformats.org/officeDocument/2006/relationships/hyperlink" Target="https://leetcode.com/problems/reverse-nodes-in-k-group/" TargetMode="External"/><Relationship Id="rId403" Type="http://schemas.openxmlformats.org/officeDocument/2006/relationships/hyperlink" Target="https://leetcode.com/problems/remove-linked-list-elements/" TargetMode="External"/><Relationship Id="rId404" Type="http://schemas.openxmlformats.org/officeDocument/2006/relationships/hyperlink" Target="https://leetcode.com/problems/remove-linked-list-elements/" TargetMode="External"/><Relationship Id="rId405" Type="http://schemas.openxmlformats.org/officeDocument/2006/relationships/hyperlink" Target="https://leetcode.com/problems/remove-duplicates-from-sorted-list/" TargetMode="External"/><Relationship Id="rId406" Type="http://schemas.openxmlformats.org/officeDocument/2006/relationships/hyperlink" Target="https://leetcode.com/problems/remove-duplicates-from-sorted-list/" TargetMode="External"/><Relationship Id="rId407" Type="http://schemas.openxmlformats.org/officeDocument/2006/relationships/hyperlink" Target="https://leetcode.com/problems/remove-nth-node-from-end-of-list/" TargetMode="External"/><Relationship Id="rId408" Type="http://schemas.openxmlformats.org/officeDocument/2006/relationships/hyperlink" Target="https://leetcode.com/problems/remove-nth-node-from-end-of-list/" TargetMode="External"/><Relationship Id="rId409" Type="http://schemas.openxmlformats.org/officeDocument/2006/relationships/hyperlink" Target="https://leetcode.com/problems/remove-duplicates-from-sorted-list-ii/" TargetMode="External"/><Relationship Id="rId410" Type="http://schemas.openxmlformats.org/officeDocument/2006/relationships/hyperlink" Target="https://leetcode.com/problems/remove-duplicates-from-sorted-list-ii/" TargetMode="External"/><Relationship Id="rId411" Type="http://schemas.openxmlformats.org/officeDocument/2006/relationships/hyperlink" Target="https://leetcode.com/problems/merge-two-sorted-lists/" TargetMode="External"/><Relationship Id="rId412" Type="http://schemas.openxmlformats.org/officeDocument/2006/relationships/hyperlink" Target="https://leetcode.com/problems/merge-two-sorted-lists/" TargetMode="External"/><Relationship Id="rId413" Type="http://schemas.openxmlformats.org/officeDocument/2006/relationships/hyperlink" Target="https://leetcode.com/problems/reorder-list/" TargetMode="External"/><Relationship Id="rId414" Type="http://schemas.openxmlformats.org/officeDocument/2006/relationships/hyperlink" Target="https://leetcode.com/problems/reorder-list/" TargetMode="External"/><Relationship Id="rId415" Type="http://schemas.openxmlformats.org/officeDocument/2006/relationships/hyperlink" Target="https://leetcode.com/problems/odd-even-linked-list/" TargetMode="External"/><Relationship Id="rId416" Type="http://schemas.openxmlformats.org/officeDocument/2006/relationships/hyperlink" Target="https://leetcode.com/problems/odd-even-linked-list/" TargetMode="External"/><Relationship Id="rId417" Type="http://schemas.openxmlformats.org/officeDocument/2006/relationships/hyperlink" Target="https://leetcode.com/problems/partition-list/" TargetMode="External"/><Relationship Id="rId418" Type="http://schemas.openxmlformats.org/officeDocument/2006/relationships/hyperlink" Target="https://leetcode.com/problems/partition-list/" TargetMode="External"/><Relationship Id="rId419" Type="http://schemas.openxmlformats.org/officeDocument/2006/relationships/hyperlink" Target="https://leetcode.com/problems/rotate-list/" TargetMode="External"/><Relationship Id="rId420" Type="http://schemas.openxmlformats.org/officeDocument/2006/relationships/hyperlink" Target="https://leetcode.com/problems/rotate-list/" TargetMode="External"/><Relationship Id="rId421" Type="http://schemas.openxmlformats.org/officeDocument/2006/relationships/hyperlink" Target="https://leetcode.com/problems/intersection-of-two-linked-lists/" TargetMode="External"/><Relationship Id="rId422" Type="http://schemas.openxmlformats.org/officeDocument/2006/relationships/hyperlink" Target="https://leetcode.com/problems/intersection-of-two-linked-lists/" TargetMode="External"/><Relationship Id="rId423" Type="http://schemas.openxmlformats.org/officeDocument/2006/relationships/hyperlink" Target="https://leetcode.com/problems/add-two-numbers/" TargetMode="External"/><Relationship Id="rId424" Type="http://schemas.openxmlformats.org/officeDocument/2006/relationships/hyperlink" Target="https://leetcode.com/problems/add-two-numbers/" TargetMode="External"/><Relationship Id="rId425" Type="http://schemas.openxmlformats.org/officeDocument/2006/relationships/hyperlink" Target="https://leetcode.com/problems/add-two-numbers-ii/" TargetMode="External"/><Relationship Id="rId426" Type="http://schemas.openxmlformats.org/officeDocument/2006/relationships/hyperlink" Target="https://leetcode.com/problems/add-two-numbers-ii/" TargetMode="External"/><Relationship Id="rId427" Type="http://schemas.openxmlformats.org/officeDocument/2006/relationships/hyperlink" Target="https://leetcode.com/problems/copy-list-with-random-pointer/" TargetMode="External"/><Relationship Id="rId428" Type="http://schemas.openxmlformats.org/officeDocument/2006/relationships/hyperlink" Target="https://leetcode.com/problems/copy-list-with-random-pointer/" TargetMode="External"/><Relationship Id="rId429" Type="http://schemas.openxmlformats.org/officeDocument/2006/relationships/hyperlink" Target="https://leetcode.com/problems/flatten-a-multilevel-doubly-linked-list/" TargetMode="External"/><Relationship Id="rId430" Type="http://schemas.openxmlformats.org/officeDocument/2006/relationships/hyperlink" Target="https://leetcode.com/problems/flatten-a-multilevel-doubly-linked-list/" TargetMode="External"/><Relationship Id="rId431" Type="http://schemas.openxmlformats.org/officeDocument/2006/relationships/hyperlink" Target="https://leetcode.com/problems/design-linked-list/" TargetMode="External"/><Relationship Id="rId432" Type="http://schemas.openxmlformats.org/officeDocument/2006/relationships/hyperlink" Target="https://leetcode.com/problems/design-linked-list/" TargetMode="External"/><Relationship Id="rId433" Type="http://schemas.openxmlformats.org/officeDocument/2006/relationships/hyperlink" Target="https://leetcode.com/problems/summary-ranges/" TargetMode="External"/><Relationship Id="rId434" Type="http://schemas.openxmlformats.org/officeDocument/2006/relationships/hyperlink" Target="https://leetcode.com/problems/summary-ranges/" TargetMode="External"/><Relationship Id="rId435" Type="http://schemas.openxmlformats.org/officeDocument/2006/relationships/hyperlink" Target="https://leetcode.com/problems/merge-intervals/" TargetMode="External"/><Relationship Id="rId436" Type="http://schemas.openxmlformats.org/officeDocument/2006/relationships/hyperlink" Target="https://leetcode.com/problems/merge-intervals/" TargetMode="External"/><Relationship Id="rId437" Type="http://schemas.openxmlformats.org/officeDocument/2006/relationships/hyperlink" Target="https://leetcode.com/problems/insert-interval/" TargetMode="External"/><Relationship Id="rId438" Type="http://schemas.openxmlformats.org/officeDocument/2006/relationships/hyperlink" Target="https://leetcode.com/problems/insert-interval/" TargetMode="External"/><Relationship Id="rId439" Type="http://schemas.openxmlformats.org/officeDocument/2006/relationships/hyperlink" Target="https://leetcode.com/problems/meeting-rooms/" TargetMode="External"/><Relationship Id="rId440" Type="http://schemas.openxmlformats.org/officeDocument/2006/relationships/hyperlink" Target="https://leetcode.com/problems/meeting-rooms/" TargetMode="External"/><Relationship Id="rId441" Type="http://schemas.openxmlformats.org/officeDocument/2006/relationships/hyperlink" Target="https://leetcode.com/problems/non-overlapping-intervals/" TargetMode="External"/><Relationship Id="rId442" Type="http://schemas.openxmlformats.org/officeDocument/2006/relationships/hyperlink" Target="https://leetcode.com/problems/non-overlapping-intervals/" TargetMode="External"/><Relationship Id="rId443" Type="http://schemas.openxmlformats.org/officeDocument/2006/relationships/hyperlink" Target="https://leetcode.com/problems/minimum-number-of-arrows-to-burst-balloons/" TargetMode="External"/><Relationship Id="rId444" Type="http://schemas.openxmlformats.org/officeDocument/2006/relationships/hyperlink" Target="https://leetcode.com/problems/minimum-number-of-arrows-to-burst-balloons/" TargetMode="External"/><Relationship Id="rId445" Type="http://schemas.openxmlformats.org/officeDocument/2006/relationships/hyperlink" Target="https://leetcode.com/problems/meeting-rooms-ii/" TargetMode="External"/><Relationship Id="rId446" Type="http://schemas.openxmlformats.org/officeDocument/2006/relationships/hyperlink" Target="https://leetcode.com/problems/meeting-rooms-ii/" TargetMode="External"/><Relationship Id="rId447" Type="http://schemas.openxmlformats.org/officeDocument/2006/relationships/hyperlink" Target="https://leetcode.com/problems/minimum-interval-to-include-each-query/" TargetMode="External"/><Relationship Id="rId448" Type="http://schemas.openxmlformats.org/officeDocument/2006/relationships/hyperlink" Target="https://leetcode.com/problems/minimum-interval-to-include-each-query/" TargetMode="External"/><Relationship Id="rId449" Type="http://schemas.openxmlformats.org/officeDocument/2006/relationships/hyperlink" Target="https://leetcode.com/problems/meeting-rooms-iii/" TargetMode="External"/><Relationship Id="rId450" Type="http://schemas.openxmlformats.org/officeDocument/2006/relationships/hyperlink" Target="https://leetcode.com/problems/meeting-rooms-iii/" TargetMode="External"/><Relationship Id="rId451" Type="http://schemas.openxmlformats.org/officeDocument/2006/relationships/hyperlink" Target="https://leetcode.com/problems/my-calendar-iii/" TargetMode="External"/><Relationship Id="rId452" Type="http://schemas.openxmlformats.org/officeDocument/2006/relationships/hyperlink" Target="https://leetcode.com/problems/my-calendar-iii/" TargetMode="External"/><Relationship Id="rId453" Type="http://schemas.openxmlformats.org/officeDocument/2006/relationships/hyperlink" Target="https://leetcode.com/problems/the-skyline-problem/" TargetMode="External"/><Relationship Id="rId454" Type="http://schemas.openxmlformats.org/officeDocument/2006/relationships/hyperlink" Target="https://leetcode.com/problems/the-skyline-problem/" TargetMode="External"/><Relationship Id="rId455" Type="http://schemas.openxmlformats.org/officeDocument/2006/relationships/hyperlink" Target="https://leetcode.com/problems/interval-list-intersections/" TargetMode="External"/><Relationship Id="rId456" Type="http://schemas.openxmlformats.org/officeDocument/2006/relationships/hyperlink" Target="https://leetcode.com/problems/interval-list-intersections/" TargetMode="External"/><Relationship Id="rId457" Type="http://schemas.openxmlformats.org/officeDocument/2006/relationships/hyperlink" Target="https://leetcode.com/problems/my-calendar-i/" TargetMode="External"/><Relationship Id="rId458" Type="http://schemas.openxmlformats.org/officeDocument/2006/relationships/hyperlink" Target="https://leetcode.com/problems/my-calendar-i/" TargetMode="External"/><Relationship Id="rId459" Type="http://schemas.openxmlformats.org/officeDocument/2006/relationships/hyperlink" Target="https://leetcode.com/problems/employee-free-time/" TargetMode="External"/><Relationship Id="rId460" Type="http://schemas.openxmlformats.org/officeDocument/2006/relationships/hyperlink" Target="https://leetcode.com/problems/employee-free-time/" TargetMode="External"/><Relationship Id="rId461" Type="http://schemas.openxmlformats.org/officeDocument/2006/relationships/hyperlink" Target="https://leetcode.com/problems/binary-tree-preorder-traversal/" TargetMode="External"/><Relationship Id="rId462" Type="http://schemas.openxmlformats.org/officeDocument/2006/relationships/hyperlink" Target="https://leetcode.com/problems/binary-tree-preorder-traversal/" TargetMode="External"/><Relationship Id="rId463" Type="http://schemas.openxmlformats.org/officeDocument/2006/relationships/hyperlink" Target="https://leetcode.com/problems/binary-tree-inorder-traversal/" TargetMode="External"/><Relationship Id="rId464" Type="http://schemas.openxmlformats.org/officeDocument/2006/relationships/hyperlink" Target="https://leetcode.com/problems/binary-tree-inorder-traversal/" TargetMode="External"/><Relationship Id="rId465" Type="http://schemas.openxmlformats.org/officeDocument/2006/relationships/hyperlink" Target="https://leetcode.com/problems/binary-tree-postorder-traversal/" TargetMode="External"/><Relationship Id="rId466" Type="http://schemas.openxmlformats.org/officeDocument/2006/relationships/hyperlink" Target="https://leetcode.com/problems/binary-tree-postorder-traversal/" TargetMode="External"/><Relationship Id="rId467" Type="http://schemas.openxmlformats.org/officeDocument/2006/relationships/hyperlink" Target="https://leetcode.com/problems/same-tree/" TargetMode="External"/><Relationship Id="rId468" Type="http://schemas.openxmlformats.org/officeDocument/2006/relationships/hyperlink" Target="https://leetcode.com/problems/same-tree/" TargetMode="External"/><Relationship Id="rId469" Type="http://schemas.openxmlformats.org/officeDocument/2006/relationships/hyperlink" Target="https://leetcode.com/problems/invert-binary-tree/" TargetMode="External"/><Relationship Id="rId470" Type="http://schemas.openxmlformats.org/officeDocument/2006/relationships/hyperlink" Target="https://leetcode.com/problems/invert-binary-tree/" TargetMode="External"/><Relationship Id="rId471" Type="http://schemas.openxmlformats.org/officeDocument/2006/relationships/hyperlink" Target="https://leetcode.com/problems/symmetric-tree/" TargetMode="External"/><Relationship Id="rId472" Type="http://schemas.openxmlformats.org/officeDocument/2006/relationships/hyperlink" Target="https://leetcode.com/problems/symmetric-tree/" TargetMode="External"/><Relationship Id="rId473" Type="http://schemas.openxmlformats.org/officeDocument/2006/relationships/hyperlink" Target="https://leetcode.com/problems/subtree-of-another-tree/" TargetMode="External"/><Relationship Id="rId474" Type="http://schemas.openxmlformats.org/officeDocument/2006/relationships/hyperlink" Target="https://leetcode.com/problems/subtree-of-another-tree/" TargetMode="External"/><Relationship Id="rId475" Type="http://schemas.openxmlformats.org/officeDocument/2006/relationships/hyperlink" Target="https://leetcode.com/problems/merge-two-binary-trees/" TargetMode="External"/><Relationship Id="rId476" Type="http://schemas.openxmlformats.org/officeDocument/2006/relationships/hyperlink" Target="https://leetcode.com/problems/merge-two-binary-trees/" TargetMode="External"/><Relationship Id="rId477" Type="http://schemas.openxmlformats.org/officeDocument/2006/relationships/hyperlink" Target="https://leetcode.com/problems/leaf-similar-trees/" TargetMode="External"/><Relationship Id="rId478" Type="http://schemas.openxmlformats.org/officeDocument/2006/relationships/hyperlink" Target="https://leetcode.com/problems/leaf-similar-trees/" TargetMode="External"/><Relationship Id="rId479" Type="http://schemas.openxmlformats.org/officeDocument/2006/relationships/hyperlink" Target="https://leetcode.com/problems/average-of-levels-in-binary-tree/" TargetMode="External"/><Relationship Id="rId480" Type="http://schemas.openxmlformats.org/officeDocument/2006/relationships/hyperlink" Target="https://leetcode.com/problems/average-of-levels-in-binary-tree/" TargetMode="External"/><Relationship Id="rId481" Type="http://schemas.openxmlformats.org/officeDocument/2006/relationships/hyperlink" Target="https://leetcode.com/problems/binary-tree-level-order-traversal/" TargetMode="External"/><Relationship Id="rId482" Type="http://schemas.openxmlformats.org/officeDocument/2006/relationships/hyperlink" Target="https://leetcode.com/problems/binary-tree-level-order-traversal/" TargetMode="External"/><Relationship Id="rId483" Type="http://schemas.openxmlformats.org/officeDocument/2006/relationships/hyperlink" Target="https://leetcode.com/problems/binary-tree-zigzag-level-order-traversal/" TargetMode="External"/><Relationship Id="rId484" Type="http://schemas.openxmlformats.org/officeDocument/2006/relationships/hyperlink" Target="https://leetcode.com/problems/binary-tree-zigzag-level-order-traversal/" TargetMode="External"/><Relationship Id="rId485" Type="http://schemas.openxmlformats.org/officeDocument/2006/relationships/hyperlink" Target="https://leetcode.com/problems/binary-tree-right-side-view/" TargetMode="External"/><Relationship Id="rId486" Type="http://schemas.openxmlformats.org/officeDocument/2006/relationships/hyperlink" Target="https://leetcode.com/problems/binary-tree-right-side-view/" TargetMode="External"/><Relationship Id="rId487" Type="http://schemas.openxmlformats.org/officeDocument/2006/relationships/hyperlink" Target="https://leetcode.com/problems/maximum-level-sum-of-a-binary-tree/" TargetMode="External"/><Relationship Id="rId488" Type="http://schemas.openxmlformats.org/officeDocument/2006/relationships/hyperlink" Target="https://leetcode.com/problems/maximum-level-sum-of-a-binary-tree/" TargetMode="External"/><Relationship Id="rId489" Type="http://schemas.openxmlformats.org/officeDocument/2006/relationships/hyperlink" Target="https://leetcode.com/problems/maximum-width-of-binary-tree/" TargetMode="External"/><Relationship Id="rId490" Type="http://schemas.openxmlformats.org/officeDocument/2006/relationships/hyperlink" Target="https://leetcode.com/problems/maximum-width-of-binary-tree/" TargetMode="External"/><Relationship Id="rId491" Type="http://schemas.openxmlformats.org/officeDocument/2006/relationships/hyperlink" Target="https://leetcode.com/problems/populating-next-right-pointers-in-each-node/" TargetMode="External"/><Relationship Id="rId492" Type="http://schemas.openxmlformats.org/officeDocument/2006/relationships/hyperlink" Target="https://leetcode.com/problems/populating-next-right-pointers-in-each-node/" TargetMode="External"/><Relationship Id="rId493" Type="http://schemas.openxmlformats.org/officeDocument/2006/relationships/hyperlink" Target="https://leetcode.com/problems/all-nodes-distance-k-in-binary-tree/" TargetMode="External"/><Relationship Id="rId494" Type="http://schemas.openxmlformats.org/officeDocument/2006/relationships/hyperlink" Target="https://leetcode.com/problems/all-nodes-distance-k-in-binary-tree/" TargetMode="External"/><Relationship Id="rId495" Type="http://schemas.openxmlformats.org/officeDocument/2006/relationships/hyperlink" Target="https://leetcode.com/problems/amount-of-time-for-binary-tree-to-be-infected/" TargetMode="External"/><Relationship Id="rId496" Type="http://schemas.openxmlformats.org/officeDocument/2006/relationships/hyperlink" Target="https://leetcode.com/problems/amount-of-time-for-binary-tree-to-be-infected/" TargetMode="External"/><Relationship Id="rId497" Type="http://schemas.openxmlformats.org/officeDocument/2006/relationships/hyperlink" Target="https://leetcode.com/problems/vertical-order-traversal-of-a-binary-tree/" TargetMode="External"/><Relationship Id="rId498" Type="http://schemas.openxmlformats.org/officeDocument/2006/relationships/hyperlink" Target="https://leetcode.com/problems/vertical-order-traversal-of-a-binary-tree/" TargetMode="External"/><Relationship Id="rId499" Type="http://schemas.openxmlformats.org/officeDocument/2006/relationships/hyperlink" Target="https://leetcode.com/problems/maximum-depth-of-binary-tree/" TargetMode="External"/><Relationship Id="rId500" Type="http://schemas.openxmlformats.org/officeDocument/2006/relationships/hyperlink" Target="https://leetcode.com/problems/maximum-depth-of-binary-tree/" TargetMode="External"/><Relationship Id="rId501" Type="http://schemas.openxmlformats.org/officeDocument/2006/relationships/hyperlink" Target="https://leetcode.com/problems/minimum-depth-of-binary-tree/" TargetMode="External"/><Relationship Id="rId502" Type="http://schemas.openxmlformats.org/officeDocument/2006/relationships/hyperlink" Target="https://leetcode.com/problems/minimum-depth-of-binary-tree/" TargetMode="External"/><Relationship Id="rId503" Type="http://schemas.openxmlformats.org/officeDocument/2006/relationships/hyperlink" Target="https://leetcode.com/problems/balanced-binary-tree/" TargetMode="External"/><Relationship Id="rId504" Type="http://schemas.openxmlformats.org/officeDocument/2006/relationships/hyperlink" Target="https://leetcode.com/problems/balanced-binary-tree/" TargetMode="External"/><Relationship Id="rId505" Type="http://schemas.openxmlformats.org/officeDocument/2006/relationships/hyperlink" Target="https://leetcode.com/problems/diameter-of-binary-tree/" TargetMode="External"/><Relationship Id="rId506" Type="http://schemas.openxmlformats.org/officeDocument/2006/relationships/hyperlink" Target="https://leetcode.com/problems/diameter-of-binary-tree/" TargetMode="External"/><Relationship Id="rId507" Type="http://schemas.openxmlformats.org/officeDocument/2006/relationships/hyperlink" Target="https://leetcode.com/problems/binary-tree-maximum-path-sum/" TargetMode="External"/><Relationship Id="rId508" Type="http://schemas.openxmlformats.org/officeDocument/2006/relationships/hyperlink" Target="https://leetcode.com/problems/binary-tree-maximum-path-sum/" TargetMode="External"/><Relationship Id="rId509" Type="http://schemas.openxmlformats.org/officeDocument/2006/relationships/hyperlink" Target="https://leetcode.com/problems/path-sum/" TargetMode="External"/><Relationship Id="rId510" Type="http://schemas.openxmlformats.org/officeDocument/2006/relationships/hyperlink" Target="https://leetcode.com/problems/path-sum/" TargetMode="External"/><Relationship Id="rId511" Type="http://schemas.openxmlformats.org/officeDocument/2006/relationships/hyperlink" Target="https://leetcode.com/problems/binary-tree-paths/" TargetMode="External"/><Relationship Id="rId512" Type="http://schemas.openxmlformats.org/officeDocument/2006/relationships/hyperlink" Target="https://leetcode.com/problems/binary-tree-paths/" TargetMode="External"/><Relationship Id="rId513" Type="http://schemas.openxmlformats.org/officeDocument/2006/relationships/hyperlink" Target="https://leetcode.com/problems/path-sum-ii/" TargetMode="External"/><Relationship Id="rId514" Type="http://schemas.openxmlformats.org/officeDocument/2006/relationships/hyperlink" Target="https://leetcode.com/problems/path-sum-ii/" TargetMode="External"/><Relationship Id="rId515" Type="http://schemas.openxmlformats.org/officeDocument/2006/relationships/hyperlink" Target="https://leetcode.com/problems/sum-root-to-leaf-numbers/" TargetMode="External"/><Relationship Id="rId516" Type="http://schemas.openxmlformats.org/officeDocument/2006/relationships/hyperlink" Target="https://leetcode.com/problems/sum-root-to-leaf-numbers/" TargetMode="External"/><Relationship Id="rId517" Type="http://schemas.openxmlformats.org/officeDocument/2006/relationships/hyperlink" Target="https://leetcode.com/problems/count-good-nodes-in-binary-tree/" TargetMode="External"/><Relationship Id="rId518" Type="http://schemas.openxmlformats.org/officeDocument/2006/relationships/hyperlink" Target="https://leetcode.com/problems/count-good-nodes-in-binary-tree/" TargetMode="External"/><Relationship Id="rId519" Type="http://schemas.openxmlformats.org/officeDocument/2006/relationships/hyperlink" Target="https://leetcode.com/problems/path-sum-iii/" TargetMode="External"/><Relationship Id="rId520" Type="http://schemas.openxmlformats.org/officeDocument/2006/relationships/hyperlink" Target="https://leetcode.com/problems/path-sum-iii/" TargetMode="External"/><Relationship Id="rId521" Type="http://schemas.openxmlformats.org/officeDocument/2006/relationships/hyperlink" Target="https://leetcode.com/problems/longest-zigzag-path-in-a-binary-tree/" TargetMode="External"/><Relationship Id="rId522" Type="http://schemas.openxmlformats.org/officeDocument/2006/relationships/hyperlink" Target="https://leetcode.com/problems/longest-zigzag-path-in-a-binary-tree/" TargetMode="External"/><Relationship Id="rId523" Type="http://schemas.openxmlformats.org/officeDocument/2006/relationships/hyperlink" Target="https://leetcode.com/problems/lowest-common-ancestor-of-a-binary-search-tree/" TargetMode="External"/><Relationship Id="rId524" Type="http://schemas.openxmlformats.org/officeDocument/2006/relationships/hyperlink" Target="https://leetcode.com/problems/lowest-common-ancestor-of-a-binary-search-tree/" TargetMode="External"/><Relationship Id="rId525" Type="http://schemas.openxmlformats.org/officeDocument/2006/relationships/hyperlink" Target="https://leetcode.com/problems/lowest-common-ancestor-of-a-binary-tree/" TargetMode="External"/><Relationship Id="rId526" Type="http://schemas.openxmlformats.org/officeDocument/2006/relationships/hyperlink" Target="https://leetcode.com/problems/lowest-common-ancestor-of-a-binary-tree/" TargetMode="External"/><Relationship Id="rId527" Type="http://schemas.openxmlformats.org/officeDocument/2006/relationships/hyperlink" Target="https://leetcode.com/problems/lowest-common-ancestor-of-deepest-leaves/" TargetMode="External"/><Relationship Id="rId528" Type="http://schemas.openxmlformats.org/officeDocument/2006/relationships/hyperlink" Target="https://leetcode.com/problems/lowest-common-ancestor-of-deepest-leaves/" TargetMode="External"/><Relationship Id="rId529" Type="http://schemas.openxmlformats.org/officeDocument/2006/relationships/hyperlink" Target="https://leetcode.com/problems/search-in-a-binary-search-tree/" TargetMode="External"/><Relationship Id="rId530" Type="http://schemas.openxmlformats.org/officeDocument/2006/relationships/hyperlink" Target="https://leetcode.com/problems/search-in-a-binary-search-tree/" TargetMode="External"/><Relationship Id="rId531" Type="http://schemas.openxmlformats.org/officeDocument/2006/relationships/hyperlink" Target="https://leetcode.com/problems/convert-sorted-array-to-binary-search-tree/" TargetMode="External"/><Relationship Id="rId532" Type="http://schemas.openxmlformats.org/officeDocument/2006/relationships/hyperlink" Target="https://leetcode.com/problems/convert-sorted-array-to-binary-search-tree/" TargetMode="External"/><Relationship Id="rId533" Type="http://schemas.openxmlformats.org/officeDocument/2006/relationships/hyperlink" Target="https://leetcode.com/problems/insert-into-a-binary-search-tree/" TargetMode="External"/><Relationship Id="rId534" Type="http://schemas.openxmlformats.org/officeDocument/2006/relationships/hyperlink" Target="https://leetcode.com/problems/insert-into-a-binary-search-tree/" TargetMode="External"/><Relationship Id="rId535" Type="http://schemas.openxmlformats.org/officeDocument/2006/relationships/hyperlink" Target="https://leetcode.com/problems/delete-node-in-a-bst/" TargetMode="External"/><Relationship Id="rId536" Type="http://schemas.openxmlformats.org/officeDocument/2006/relationships/hyperlink" Target="https://leetcode.com/problems/delete-node-in-a-bst/" TargetMode="External"/><Relationship Id="rId537" Type="http://schemas.openxmlformats.org/officeDocument/2006/relationships/hyperlink" Target="https://leetcode.com/problems/minimum-absolute-difference-in-bst/" TargetMode="External"/><Relationship Id="rId538" Type="http://schemas.openxmlformats.org/officeDocument/2006/relationships/hyperlink" Target="https://leetcode.com/problems/minimum-absolute-difference-in-bst/" TargetMode="External"/><Relationship Id="rId539" Type="http://schemas.openxmlformats.org/officeDocument/2006/relationships/hyperlink" Target="https://leetcode.com/problems/validate-binary-search-tree/" TargetMode="External"/><Relationship Id="rId540" Type="http://schemas.openxmlformats.org/officeDocument/2006/relationships/hyperlink" Target="https://leetcode.com/problems/validate-binary-search-tree/" TargetMode="External"/><Relationship Id="rId541" Type="http://schemas.openxmlformats.org/officeDocument/2006/relationships/hyperlink" Target="https://leetcode.com/problems/kth-smallest-element-in-a-bst/" TargetMode="External"/><Relationship Id="rId542" Type="http://schemas.openxmlformats.org/officeDocument/2006/relationships/hyperlink" Target="https://leetcode.com/problems/kth-smallest-element-in-a-bst/" TargetMode="External"/><Relationship Id="rId543" Type="http://schemas.openxmlformats.org/officeDocument/2006/relationships/hyperlink" Target="https://leetcode.com/problems/binary-search-tree-iterator/" TargetMode="External"/><Relationship Id="rId544" Type="http://schemas.openxmlformats.org/officeDocument/2006/relationships/hyperlink" Target="https://leetcode.com/problems/binary-search-tree-iterator/" TargetMode="External"/><Relationship Id="rId545" Type="http://schemas.openxmlformats.org/officeDocument/2006/relationships/hyperlink" Target="https://leetcode.com/problems/recover-binary-search-tree/" TargetMode="External"/><Relationship Id="rId546" Type="http://schemas.openxmlformats.org/officeDocument/2006/relationships/hyperlink" Target="https://leetcode.com/problems/recover-binary-search-tree/" TargetMode="External"/><Relationship Id="rId547" Type="http://schemas.openxmlformats.org/officeDocument/2006/relationships/hyperlink" Target="https://leetcode.com/problems/construct-binary-tree-from-preorder-and-inorder-traversal/" TargetMode="External"/><Relationship Id="rId548" Type="http://schemas.openxmlformats.org/officeDocument/2006/relationships/hyperlink" Target="https://leetcode.com/problems/construct-binary-tree-from-preorder-and-inorder-traversal/" TargetMode="External"/><Relationship Id="rId549" Type="http://schemas.openxmlformats.org/officeDocument/2006/relationships/hyperlink" Target="https://leetcode.com/problems/construct-binary-tree-from-inorder-and-postorder-traversal/" TargetMode="External"/><Relationship Id="rId550" Type="http://schemas.openxmlformats.org/officeDocument/2006/relationships/hyperlink" Target="https://leetcode.com/problems/construct-binary-tree-from-inorder-and-postorder-traversal/" TargetMode="External"/><Relationship Id="rId551" Type="http://schemas.openxmlformats.org/officeDocument/2006/relationships/hyperlink" Target="https://leetcode.com/problems/construct-binary-search-tree-from-preorder-traversal/" TargetMode="External"/><Relationship Id="rId552" Type="http://schemas.openxmlformats.org/officeDocument/2006/relationships/hyperlink" Target="https://leetcode.com/problems/construct-binary-search-tree-from-preorder-traversal/" TargetMode="External"/><Relationship Id="rId553" Type="http://schemas.openxmlformats.org/officeDocument/2006/relationships/hyperlink" Target="https://leetcode.com/problems/maximum-binary-tree/" TargetMode="External"/><Relationship Id="rId554" Type="http://schemas.openxmlformats.org/officeDocument/2006/relationships/hyperlink" Target="https://leetcode.com/problems/maximum-binary-tree/" TargetMode="External"/><Relationship Id="rId555" Type="http://schemas.openxmlformats.org/officeDocument/2006/relationships/hyperlink" Target="https://leetcode.com/problems/flatten-binary-tree-to-linked-list/" TargetMode="External"/><Relationship Id="rId556" Type="http://schemas.openxmlformats.org/officeDocument/2006/relationships/hyperlink" Target="https://leetcode.com/problems/flatten-binary-tree-to-linked-list/" TargetMode="External"/><Relationship Id="rId557" Type="http://schemas.openxmlformats.org/officeDocument/2006/relationships/hyperlink" Target="https://leetcode.com/problems/serialize-and-deserialize-bst/" TargetMode="External"/><Relationship Id="rId558" Type="http://schemas.openxmlformats.org/officeDocument/2006/relationships/hyperlink" Target="https://leetcode.com/problems/serialize-and-deserialize-bst/" TargetMode="External"/><Relationship Id="rId559" Type="http://schemas.openxmlformats.org/officeDocument/2006/relationships/hyperlink" Target="https://leetcode.com/problems/serialize-and-deserialize-binary-tree/" TargetMode="External"/><Relationship Id="rId560" Type="http://schemas.openxmlformats.org/officeDocument/2006/relationships/hyperlink" Target="https://leetcode.com/problems/serialize-and-deserialize-binary-tree/" TargetMode="External"/><Relationship Id="rId561" Type="http://schemas.openxmlformats.org/officeDocument/2006/relationships/hyperlink" Target="https://leetcode.com/problems/kth-largest-element-in-a-stream/" TargetMode="External"/><Relationship Id="rId562" Type="http://schemas.openxmlformats.org/officeDocument/2006/relationships/hyperlink" Target="https://leetcode.com/problems/kth-largest-element-in-a-stream/" TargetMode="External"/><Relationship Id="rId563" Type="http://schemas.openxmlformats.org/officeDocument/2006/relationships/hyperlink" Target="https://leetcode.com/problems/last-stone-weight/" TargetMode="External"/><Relationship Id="rId564" Type="http://schemas.openxmlformats.org/officeDocument/2006/relationships/hyperlink" Target="https://leetcode.com/problems/last-stone-weight/" TargetMode="External"/><Relationship Id="rId565" Type="http://schemas.openxmlformats.org/officeDocument/2006/relationships/hyperlink" Target="https://leetcode.com/problems/kth-largest-element-in-an-array/" TargetMode="External"/><Relationship Id="rId566" Type="http://schemas.openxmlformats.org/officeDocument/2006/relationships/hyperlink" Target="https://leetcode.com/problems/kth-largest-element-in-an-array/" TargetMode="External"/><Relationship Id="rId567" Type="http://schemas.openxmlformats.org/officeDocument/2006/relationships/hyperlink" Target="https://leetcode.com/problems/top-k-frequent-elements/" TargetMode="External"/><Relationship Id="rId568" Type="http://schemas.openxmlformats.org/officeDocument/2006/relationships/hyperlink" Target="https://leetcode.com/problems/top-k-frequent-elements/" TargetMode="External"/><Relationship Id="rId569" Type="http://schemas.openxmlformats.org/officeDocument/2006/relationships/hyperlink" Target="https://leetcode.com/problems/k-closest-points-to-origin/" TargetMode="External"/><Relationship Id="rId570" Type="http://schemas.openxmlformats.org/officeDocument/2006/relationships/hyperlink" Target="https://leetcode.com/problems/k-closest-points-to-origin/" TargetMode="External"/><Relationship Id="rId571" Type="http://schemas.openxmlformats.org/officeDocument/2006/relationships/hyperlink" Target="https://leetcode.com/problems/top-k-frequent-words/" TargetMode="External"/><Relationship Id="rId572" Type="http://schemas.openxmlformats.org/officeDocument/2006/relationships/hyperlink" Target="https://leetcode.com/problems/top-k-frequent-words/" TargetMode="External"/><Relationship Id="rId573" Type="http://schemas.openxmlformats.org/officeDocument/2006/relationships/hyperlink" Target="https://leetcode.com/problems/find-k-pairs-with-smallest-sums/" TargetMode="External"/><Relationship Id="rId574" Type="http://schemas.openxmlformats.org/officeDocument/2006/relationships/hyperlink" Target="https://leetcode.com/problems/find-k-pairs-with-smallest-sums/" TargetMode="External"/><Relationship Id="rId575" Type="http://schemas.openxmlformats.org/officeDocument/2006/relationships/hyperlink" Target="https://leetcode.com/problems/merge-k-sorted-lists/" TargetMode="External"/><Relationship Id="rId576" Type="http://schemas.openxmlformats.org/officeDocument/2006/relationships/hyperlink" Target="https://leetcode.com/problems/merge-k-sorted-lists/" TargetMode="External"/><Relationship Id="rId577" Type="http://schemas.openxmlformats.org/officeDocument/2006/relationships/hyperlink" Target="https://leetcode.com/problems/smallest-range-covering-elements-from-k-lists/" TargetMode="External"/><Relationship Id="rId578" Type="http://schemas.openxmlformats.org/officeDocument/2006/relationships/hyperlink" Target="https://leetcode.com/problems/smallest-range-covering-elements-from-k-lists/" TargetMode="External"/><Relationship Id="rId579" Type="http://schemas.openxmlformats.org/officeDocument/2006/relationships/hyperlink" Target="https://leetcode.com/problems/find-median-from-data-stream/" TargetMode="External"/><Relationship Id="rId580" Type="http://schemas.openxmlformats.org/officeDocument/2006/relationships/hyperlink" Target="https://leetcode.com/problems/find-median-from-data-stream/" TargetMode="External"/><Relationship Id="rId581" Type="http://schemas.openxmlformats.org/officeDocument/2006/relationships/hyperlink" Target="https://leetcode.com/problems/sliding-window-median/" TargetMode="External"/><Relationship Id="rId582" Type="http://schemas.openxmlformats.org/officeDocument/2006/relationships/hyperlink" Target="https://leetcode.com/problems/sliding-window-median/" TargetMode="External"/><Relationship Id="rId583" Type="http://schemas.openxmlformats.org/officeDocument/2006/relationships/hyperlink" Target="https://leetcode.com/problems/ipo/" TargetMode="External"/><Relationship Id="rId584" Type="http://schemas.openxmlformats.org/officeDocument/2006/relationships/hyperlink" Target="https://leetcode.com/problems/ipo/" TargetMode="External"/><Relationship Id="rId585" Type="http://schemas.openxmlformats.org/officeDocument/2006/relationships/hyperlink" Target="https://leetcode.com/problems/task-scheduler/" TargetMode="External"/><Relationship Id="rId586" Type="http://schemas.openxmlformats.org/officeDocument/2006/relationships/hyperlink" Target="https://leetcode.com/problems/task-scheduler/" TargetMode="External"/><Relationship Id="rId587" Type="http://schemas.openxmlformats.org/officeDocument/2006/relationships/hyperlink" Target="https://leetcode.com/problems/reorganize-string/" TargetMode="External"/><Relationship Id="rId588" Type="http://schemas.openxmlformats.org/officeDocument/2006/relationships/hyperlink" Target="https://leetcode.com/problems/reorganize-string/" TargetMode="External"/><Relationship Id="rId589" Type="http://schemas.openxmlformats.org/officeDocument/2006/relationships/hyperlink" Target="https://leetcode.com/problems/furthest-building-you-can-reach/" TargetMode="External"/><Relationship Id="rId590" Type="http://schemas.openxmlformats.org/officeDocument/2006/relationships/hyperlink" Target="https://leetcode.com/problems/furthest-building-you-can-reach/" TargetMode="External"/><Relationship Id="rId591" Type="http://schemas.openxmlformats.org/officeDocument/2006/relationships/hyperlink" Target="https://leetcode.com/problems/single-threaded-cpu/" TargetMode="External"/><Relationship Id="rId592" Type="http://schemas.openxmlformats.org/officeDocument/2006/relationships/hyperlink" Target="https://leetcode.com/problems/single-threaded-cpu/" TargetMode="External"/><Relationship Id="rId593" Type="http://schemas.openxmlformats.org/officeDocument/2006/relationships/hyperlink" Target="https://leetcode.com/problems/maximum-subsequence-score/" TargetMode="External"/><Relationship Id="rId594" Type="http://schemas.openxmlformats.org/officeDocument/2006/relationships/hyperlink" Target="https://leetcode.com/problems/maximum-subsequence-score/" TargetMode="External"/><Relationship Id="rId595" Type="http://schemas.openxmlformats.org/officeDocument/2006/relationships/hyperlink" Target="https://leetcode.com/problems/minimum-number-of-refueling-stops/" TargetMode="External"/><Relationship Id="rId596" Type="http://schemas.openxmlformats.org/officeDocument/2006/relationships/hyperlink" Target="https://leetcode.com/problems/minimum-number-of-refueling-stops/" TargetMode="External"/><Relationship Id="rId597" Type="http://schemas.openxmlformats.org/officeDocument/2006/relationships/hyperlink" Target="https://leetcode.com/problems/minimum-cost-to-hire-k-workers/" TargetMode="External"/><Relationship Id="rId598" Type="http://schemas.openxmlformats.org/officeDocument/2006/relationships/hyperlink" Target="https://leetcode.com/problems/minimum-cost-to-hire-k-workers/" TargetMode="External"/><Relationship Id="rId599" Type="http://schemas.openxmlformats.org/officeDocument/2006/relationships/hyperlink" Target="https://leetcode.com/problems/fibonacci-number/" TargetMode="External"/><Relationship Id="rId600" Type="http://schemas.openxmlformats.org/officeDocument/2006/relationships/hyperlink" Target="https://leetcode.com/problems/fibonacci-number/" TargetMode="External"/><Relationship Id="rId601" Type="http://schemas.openxmlformats.org/officeDocument/2006/relationships/hyperlink" Target="https://leetcode.com/problems/powx-n/" TargetMode="External"/><Relationship Id="rId602" Type="http://schemas.openxmlformats.org/officeDocument/2006/relationships/hyperlink" Target="https://leetcode.com/problems/powx-n/" TargetMode="External"/><Relationship Id="rId603" Type="http://schemas.openxmlformats.org/officeDocument/2006/relationships/hyperlink" Target="https://leetcode.com/problems/k-th-symbol-in-grammar/" TargetMode="External"/><Relationship Id="rId604" Type="http://schemas.openxmlformats.org/officeDocument/2006/relationships/hyperlink" Target="https://leetcode.com/problems/k-th-symbol-in-grammar/" TargetMode="External"/><Relationship Id="rId605" Type="http://schemas.openxmlformats.org/officeDocument/2006/relationships/hyperlink" Target="https://leetcode.com/problems/find-the-winner-of-the-circular-game/" TargetMode="External"/><Relationship Id="rId606" Type="http://schemas.openxmlformats.org/officeDocument/2006/relationships/hyperlink" Target="https://leetcode.com/problems/find-the-winner-of-the-circular-game/" TargetMode="External"/><Relationship Id="rId607" Type="http://schemas.openxmlformats.org/officeDocument/2006/relationships/hyperlink" Target="https://leetcode.com/problems/different-ways-to-add-parentheses/" TargetMode="External"/><Relationship Id="rId608" Type="http://schemas.openxmlformats.org/officeDocument/2006/relationships/hyperlink" Target="https://leetcode.com/problems/different-ways-to-add-parentheses/" TargetMode="External"/><Relationship Id="rId609" Type="http://schemas.openxmlformats.org/officeDocument/2006/relationships/hyperlink" Target="https://leetcode.com/problems/subsets/" TargetMode="External"/><Relationship Id="rId610" Type="http://schemas.openxmlformats.org/officeDocument/2006/relationships/hyperlink" Target="https://leetcode.com/problems/subsets/" TargetMode="External"/><Relationship Id="rId611" Type="http://schemas.openxmlformats.org/officeDocument/2006/relationships/hyperlink" Target="https://leetcode.com/problems/subsets-ii/" TargetMode="External"/><Relationship Id="rId612" Type="http://schemas.openxmlformats.org/officeDocument/2006/relationships/hyperlink" Target="https://leetcode.com/problems/subsets-ii/" TargetMode="External"/><Relationship Id="rId613" Type="http://schemas.openxmlformats.org/officeDocument/2006/relationships/hyperlink" Target="https://leetcode.com/problems/letter-case-permutation/" TargetMode="External"/><Relationship Id="rId614" Type="http://schemas.openxmlformats.org/officeDocument/2006/relationships/hyperlink" Target="https://leetcode.com/problems/letter-case-permutation/" TargetMode="External"/><Relationship Id="rId615" Type="http://schemas.openxmlformats.org/officeDocument/2006/relationships/hyperlink" Target="https://leetcode.com/problems/permutations/" TargetMode="External"/><Relationship Id="rId616" Type="http://schemas.openxmlformats.org/officeDocument/2006/relationships/hyperlink" Target="https://leetcode.com/problems/permutations/" TargetMode="External"/><Relationship Id="rId617" Type="http://schemas.openxmlformats.org/officeDocument/2006/relationships/hyperlink" Target="https://leetcode.com/problems/permutations-ii/" TargetMode="External"/><Relationship Id="rId618" Type="http://schemas.openxmlformats.org/officeDocument/2006/relationships/hyperlink" Target="https://leetcode.com/problems/permutations-ii/" TargetMode="External"/><Relationship Id="rId619" Type="http://schemas.openxmlformats.org/officeDocument/2006/relationships/hyperlink" Target="https://leetcode.com/problems/permutation-sequence/" TargetMode="External"/><Relationship Id="rId620" Type="http://schemas.openxmlformats.org/officeDocument/2006/relationships/hyperlink" Target="https://leetcode.com/problems/permutation-sequence/" TargetMode="External"/><Relationship Id="rId621" Type="http://schemas.openxmlformats.org/officeDocument/2006/relationships/hyperlink" Target="https://leetcode.com/problems/combinations/" TargetMode="External"/><Relationship Id="rId622" Type="http://schemas.openxmlformats.org/officeDocument/2006/relationships/hyperlink" Target="https://leetcode.com/problems/combinations/" TargetMode="External"/><Relationship Id="rId623" Type="http://schemas.openxmlformats.org/officeDocument/2006/relationships/hyperlink" Target="https://leetcode.com/problems/combination-sum/" TargetMode="External"/><Relationship Id="rId624" Type="http://schemas.openxmlformats.org/officeDocument/2006/relationships/hyperlink" Target="https://leetcode.com/problems/combination-sum/" TargetMode="External"/><Relationship Id="rId625" Type="http://schemas.openxmlformats.org/officeDocument/2006/relationships/hyperlink" Target="https://leetcode.com/problems/combination-sum-ii/" TargetMode="External"/><Relationship Id="rId626" Type="http://schemas.openxmlformats.org/officeDocument/2006/relationships/hyperlink" Target="https://leetcode.com/problems/combination-sum-ii/" TargetMode="External"/><Relationship Id="rId627" Type="http://schemas.openxmlformats.org/officeDocument/2006/relationships/hyperlink" Target="https://leetcode.com/problems/combination-sum-iii/" TargetMode="External"/><Relationship Id="rId628" Type="http://schemas.openxmlformats.org/officeDocument/2006/relationships/hyperlink" Target="https://leetcode.com/problems/combination-sum-iii/" TargetMode="External"/><Relationship Id="rId629" Type="http://schemas.openxmlformats.org/officeDocument/2006/relationships/hyperlink" Target="https://leetcode.com/problems/letter-combinations-of-a-phone-number/" TargetMode="External"/><Relationship Id="rId630" Type="http://schemas.openxmlformats.org/officeDocument/2006/relationships/hyperlink" Target="https://leetcode.com/problems/letter-combinations-of-a-phone-number/" TargetMode="External"/><Relationship Id="rId631" Type="http://schemas.openxmlformats.org/officeDocument/2006/relationships/hyperlink" Target="https://leetcode.com/problems/palindrome-partitioning/" TargetMode="External"/><Relationship Id="rId632" Type="http://schemas.openxmlformats.org/officeDocument/2006/relationships/hyperlink" Target="https://leetcode.com/problems/palindrome-partitioning/" TargetMode="External"/><Relationship Id="rId633" Type="http://schemas.openxmlformats.org/officeDocument/2006/relationships/hyperlink" Target="https://leetcode.com/problems/restore-ip-addresses/" TargetMode="External"/><Relationship Id="rId634" Type="http://schemas.openxmlformats.org/officeDocument/2006/relationships/hyperlink" Target="https://leetcode.com/problems/restore-ip-addresses/" TargetMode="External"/><Relationship Id="rId635" Type="http://schemas.openxmlformats.org/officeDocument/2006/relationships/hyperlink" Target="https://leetcode.com/problems/partition-to-k-equal-sum-subsets/" TargetMode="External"/><Relationship Id="rId636" Type="http://schemas.openxmlformats.org/officeDocument/2006/relationships/hyperlink" Target="https://leetcode.com/problems/partition-to-k-equal-sum-subsets/" TargetMode="External"/><Relationship Id="rId637" Type="http://schemas.openxmlformats.org/officeDocument/2006/relationships/hyperlink" Target="https://leetcode.com/problems/expression-add-operators/" TargetMode="External"/><Relationship Id="rId638" Type="http://schemas.openxmlformats.org/officeDocument/2006/relationships/hyperlink" Target="https://leetcode.com/problems/expression-add-operators/" TargetMode="External"/><Relationship Id="rId639" Type="http://schemas.openxmlformats.org/officeDocument/2006/relationships/hyperlink" Target="https://leetcode.com/problems/generate-parentheses/" TargetMode="External"/><Relationship Id="rId640" Type="http://schemas.openxmlformats.org/officeDocument/2006/relationships/hyperlink" Target="https://leetcode.com/problems/generate-parentheses/" TargetMode="External"/><Relationship Id="rId641" Type="http://schemas.openxmlformats.org/officeDocument/2006/relationships/hyperlink" Target="https://leetcode.com/problems/gray-code/" TargetMode="External"/><Relationship Id="rId642" Type="http://schemas.openxmlformats.org/officeDocument/2006/relationships/hyperlink" Target="https://leetcode.com/problems/gray-code/" TargetMode="External"/><Relationship Id="rId643" Type="http://schemas.openxmlformats.org/officeDocument/2006/relationships/hyperlink" Target="https://leetcode.com/problems/remove-invalid-parentheses/" TargetMode="External"/><Relationship Id="rId644" Type="http://schemas.openxmlformats.org/officeDocument/2006/relationships/hyperlink" Target="https://leetcode.com/problems/remove-invalid-parentheses/" TargetMode="External"/><Relationship Id="rId645" Type="http://schemas.openxmlformats.org/officeDocument/2006/relationships/hyperlink" Target="https://leetcode.com/problems/word-search/" TargetMode="External"/><Relationship Id="rId646" Type="http://schemas.openxmlformats.org/officeDocument/2006/relationships/hyperlink" Target="https://leetcode.com/problems/word-search/" TargetMode="External"/><Relationship Id="rId647" Type="http://schemas.openxmlformats.org/officeDocument/2006/relationships/hyperlink" Target="https://leetcode.com/problems/n-queens/" TargetMode="External"/><Relationship Id="rId648" Type="http://schemas.openxmlformats.org/officeDocument/2006/relationships/hyperlink" Target="https://leetcode.com/problems/n-queens/" TargetMode="External"/><Relationship Id="rId649" Type="http://schemas.openxmlformats.org/officeDocument/2006/relationships/hyperlink" Target="https://leetcode.com/problems/n-queens-ii/" TargetMode="External"/><Relationship Id="rId650" Type="http://schemas.openxmlformats.org/officeDocument/2006/relationships/hyperlink" Target="https://leetcode.com/problems/n-queens-ii/" TargetMode="External"/><Relationship Id="rId651" Type="http://schemas.openxmlformats.org/officeDocument/2006/relationships/hyperlink" Target="https://leetcode.com/problems/sudoku-solver/" TargetMode="External"/><Relationship Id="rId652" Type="http://schemas.openxmlformats.org/officeDocument/2006/relationships/hyperlink" Target="https://leetcode.com/problems/sudoku-solver/" TargetMode="External"/><Relationship Id="rId653" Type="http://schemas.openxmlformats.org/officeDocument/2006/relationships/hyperlink" Target="https://leetcode.com/problems/implement-trie-prefix-tree/" TargetMode="External"/><Relationship Id="rId654" Type="http://schemas.openxmlformats.org/officeDocument/2006/relationships/hyperlink" Target="https://leetcode.com/problems/implement-trie-prefix-tree/" TargetMode="External"/><Relationship Id="rId655" Type="http://schemas.openxmlformats.org/officeDocument/2006/relationships/hyperlink" Target="https://leetcode.com/problems/search-suggestions-system/" TargetMode="External"/><Relationship Id="rId656" Type="http://schemas.openxmlformats.org/officeDocument/2006/relationships/hyperlink" Target="https://leetcode.com/problems/search-suggestions-system/" TargetMode="External"/><Relationship Id="rId657" Type="http://schemas.openxmlformats.org/officeDocument/2006/relationships/hyperlink" Target="https://leetcode.com/problems/replace-words/" TargetMode="External"/><Relationship Id="rId658" Type="http://schemas.openxmlformats.org/officeDocument/2006/relationships/hyperlink" Target="https://leetcode.com/problems/replace-words/" TargetMode="External"/><Relationship Id="rId659" Type="http://schemas.openxmlformats.org/officeDocument/2006/relationships/hyperlink" Target="https://leetcode.com/problems/longest-word-in-dictionary/" TargetMode="External"/><Relationship Id="rId660" Type="http://schemas.openxmlformats.org/officeDocument/2006/relationships/hyperlink" Target="https://leetcode.com/problems/longest-word-in-dictionary/" TargetMode="External"/><Relationship Id="rId661" Type="http://schemas.openxmlformats.org/officeDocument/2006/relationships/hyperlink" Target="https://leetcode.com/problems/design-add-and-search-words-data-structure/" TargetMode="External"/><Relationship Id="rId662" Type="http://schemas.openxmlformats.org/officeDocument/2006/relationships/hyperlink" Target="https://leetcode.com/problems/design-add-and-search-words-data-structure/" TargetMode="External"/><Relationship Id="rId663" Type="http://schemas.openxmlformats.org/officeDocument/2006/relationships/hyperlink" Target="https://leetcode.com/problems/implement-magic-dictionary/" TargetMode="External"/><Relationship Id="rId664" Type="http://schemas.openxmlformats.org/officeDocument/2006/relationships/hyperlink" Target="https://leetcode.com/problems/implement-magic-dictionary/" TargetMode="External"/><Relationship Id="rId665" Type="http://schemas.openxmlformats.org/officeDocument/2006/relationships/hyperlink" Target="https://leetcode.com/problems/word-search-ii/" TargetMode="External"/><Relationship Id="rId666" Type="http://schemas.openxmlformats.org/officeDocument/2006/relationships/hyperlink" Target="https://leetcode.com/problems/word-search-ii/" TargetMode="External"/><Relationship Id="rId667" Type="http://schemas.openxmlformats.org/officeDocument/2006/relationships/hyperlink" Target="https://leetcode.com/problems/concatenated-words/" TargetMode="External"/><Relationship Id="rId668" Type="http://schemas.openxmlformats.org/officeDocument/2006/relationships/hyperlink" Target="https://leetcode.com/problems/concatenated-words/" TargetMode="External"/><Relationship Id="rId669" Type="http://schemas.openxmlformats.org/officeDocument/2006/relationships/hyperlink" Target="https://leetcode.com/problems/maximum-xor-of-two-numbers-in-an-array/" TargetMode="External"/><Relationship Id="rId670" Type="http://schemas.openxmlformats.org/officeDocument/2006/relationships/hyperlink" Target="https://leetcode.com/problems/maximum-xor-of-two-numbers-in-an-array/" TargetMode="External"/><Relationship Id="rId671" Type="http://schemas.openxmlformats.org/officeDocument/2006/relationships/hyperlink" Target="https://leetcode.com/problems/maximum-xor-with-an-element-from-array/" TargetMode="External"/><Relationship Id="rId672" Type="http://schemas.openxmlformats.org/officeDocument/2006/relationships/hyperlink" Target="https://leetcode.com/problems/maximum-xor-with-an-element-from-array/" TargetMode="External"/><Relationship Id="rId673" Type="http://schemas.openxmlformats.org/officeDocument/2006/relationships/hyperlink" Target="https://leetcode.com/problems/flood-fill/" TargetMode="External"/><Relationship Id="rId674" Type="http://schemas.openxmlformats.org/officeDocument/2006/relationships/hyperlink" Target="https://leetcode.com/problems/flood-fill/" TargetMode="External"/><Relationship Id="rId675" Type="http://schemas.openxmlformats.org/officeDocument/2006/relationships/hyperlink" Target="https://leetcode.com/problems/island-perimeter/" TargetMode="External"/><Relationship Id="rId676" Type="http://schemas.openxmlformats.org/officeDocument/2006/relationships/hyperlink" Target="https://leetcode.com/problems/island-perimeter/" TargetMode="External"/><Relationship Id="rId677" Type="http://schemas.openxmlformats.org/officeDocument/2006/relationships/hyperlink" Target="https://leetcode.com/problems/number-of-islands/" TargetMode="External"/><Relationship Id="rId678" Type="http://schemas.openxmlformats.org/officeDocument/2006/relationships/hyperlink" Target="https://leetcode.com/problems/number-of-islands/" TargetMode="External"/><Relationship Id="rId679" Type="http://schemas.openxmlformats.org/officeDocument/2006/relationships/hyperlink" Target="https://leetcode.com/problems/max-area-of-island/" TargetMode="External"/><Relationship Id="rId680" Type="http://schemas.openxmlformats.org/officeDocument/2006/relationships/hyperlink" Target="https://leetcode.com/problems/max-area-of-island/" TargetMode="External"/><Relationship Id="rId681" Type="http://schemas.openxmlformats.org/officeDocument/2006/relationships/hyperlink" Target="https://leetcode.com/problems/number-of-distinct-islands/" TargetMode="External"/><Relationship Id="rId682" Type="http://schemas.openxmlformats.org/officeDocument/2006/relationships/hyperlink" Target="https://leetcode.com/problems/number-of-distinct-islands/" TargetMode="External"/><Relationship Id="rId683" Type="http://schemas.openxmlformats.org/officeDocument/2006/relationships/hyperlink" Target="https://leetcode.com/problems/surrounded-regions/" TargetMode="External"/><Relationship Id="rId684" Type="http://schemas.openxmlformats.org/officeDocument/2006/relationships/hyperlink" Target="https://leetcode.com/problems/surrounded-regions/" TargetMode="External"/><Relationship Id="rId685" Type="http://schemas.openxmlformats.org/officeDocument/2006/relationships/hyperlink" Target="https://leetcode.com/problems/pacific-atlantic-water-flow/" TargetMode="External"/><Relationship Id="rId686" Type="http://schemas.openxmlformats.org/officeDocument/2006/relationships/hyperlink" Target="https://leetcode.com/problems/pacific-atlantic-water-flow/" TargetMode="External"/><Relationship Id="rId687" Type="http://schemas.openxmlformats.org/officeDocument/2006/relationships/hyperlink" Target="https://leetcode.com/problems/number-of-enclaves/" TargetMode="External"/><Relationship Id="rId688" Type="http://schemas.openxmlformats.org/officeDocument/2006/relationships/hyperlink" Target="https://leetcode.com/problems/number-of-enclaves/" TargetMode="External"/><Relationship Id="rId689" Type="http://schemas.openxmlformats.org/officeDocument/2006/relationships/hyperlink" Target="https://leetcode.com/problems/number-of-closed-islands/" TargetMode="External"/><Relationship Id="rId690" Type="http://schemas.openxmlformats.org/officeDocument/2006/relationships/hyperlink" Target="https://leetcode.com/problems/number-of-closed-islands/" TargetMode="External"/><Relationship Id="rId691" Type="http://schemas.openxmlformats.org/officeDocument/2006/relationships/hyperlink" Target="https://leetcode.com/problems/rotting-oranges/" TargetMode="External"/><Relationship Id="rId692" Type="http://schemas.openxmlformats.org/officeDocument/2006/relationships/hyperlink" Target="https://leetcode.com/problems/rotting-oranges/" TargetMode="External"/><Relationship Id="rId693" Type="http://schemas.openxmlformats.org/officeDocument/2006/relationships/hyperlink" Target="https://leetcode.com/problems/01-matrix/" TargetMode="External"/><Relationship Id="rId694" Type="http://schemas.openxmlformats.org/officeDocument/2006/relationships/hyperlink" Target="https://leetcode.com/problems/01-matrix/" TargetMode="External"/><Relationship Id="rId695" Type="http://schemas.openxmlformats.org/officeDocument/2006/relationships/hyperlink" Target="https://leetcode.com/problems/walls-and-gates/" TargetMode="External"/><Relationship Id="rId696" Type="http://schemas.openxmlformats.org/officeDocument/2006/relationships/hyperlink" Target="https://leetcode.com/problems/walls-and-gates/" TargetMode="External"/><Relationship Id="rId697" Type="http://schemas.openxmlformats.org/officeDocument/2006/relationships/hyperlink" Target="https://leetcode.com/problems/as-far-from-land-as-possible/" TargetMode="External"/><Relationship Id="rId698" Type="http://schemas.openxmlformats.org/officeDocument/2006/relationships/hyperlink" Target="https://leetcode.com/problems/as-far-from-land-as-possible/" TargetMode="External"/><Relationship Id="rId699" Type="http://schemas.openxmlformats.org/officeDocument/2006/relationships/hyperlink" Target="https://leetcode.com/problems/map-of-highest-peak/" TargetMode="External"/><Relationship Id="rId700" Type="http://schemas.openxmlformats.org/officeDocument/2006/relationships/hyperlink" Target="https://leetcode.com/problems/map-of-highest-peak/" TargetMode="External"/><Relationship Id="rId701" Type="http://schemas.openxmlformats.org/officeDocument/2006/relationships/hyperlink" Target="https://leetcode.com/problems/find-if-path-exists-in-graph/" TargetMode="External"/><Relationship Id="rId702" Type="http://schemas.openxmlformats.org/officeDocument/2006/relationships/hyperlink" Target="https://leetcode.com/problems/find-if-path-exists-in-graph/" TargetMode="External"/><Relationship Id="rId703" Type="http://schemas.openxmlformats.org/officeDocument/2006/relationships/hyperlink" Target="https://leetcode.com/problems/find-the-town-judge/" TargetMode="External"/><Relationship Id="rId704" Type="http://schemas.openxmlformats.org/officeDocument/2006/relationships/hyperlink" Target="https://leetcode.com/problems/find-the-town-judge/" TargetMode="External"/><Relationship Id="rId705" Type="http://schemas.openxmlformats.org/officeDocument/2006/relationships/hyperlink" Target="https://leetcode.com/problems/clone-graph/" TargetMode="External"/><Relationship Id="rId706" Type="http://schemas.openxmlformats.org/officeDocument/2006/relationships/hyperlink" Target="https://leetcode.com/problems/clone-graph/" TargetMode="External"/><Relationship Id="rId707" Type="http://schemas.openxmlformats.org/officeDocument/2006/relationships/hyperlink" Target="https://leetcode.com/problems/number-of-provinces/" TargetMode="External"/><Relationship Id="rId708" Type="http://schemas.openxmlformats.org/officeDocument/2006/relationships/hyperlink" Target="https://leetcode.com/problems/number-of-provinces/" TargetMode="External"/><Relationship Id="rId709" Type="http://schemas.openxmlformats.org/officeDocument/2006/relationships/hyperlink" Target="https://leetcode.com/problems/keys-and-rooms/" TargetMode="External"/><Relationship Id="rId710" Type="http://schemas.openxmlformats.org/officeDocument/2006/relationships/hyperlink" Target="https://leetcode.com/problems/keys-and-rooms/" TargetMode="External"/><Relationship Id="rId711" Type="http://schemas.openxmlformats.org/officeDocument/2006/relationships/hyperlink" Target="https://leetcode.com/problems/number-of-connected-components-in-an-undirected-graph/" TargetMode="External"/><Relationship Id="rId712" Type="http://schemas.openxmlformats.org/officeDocument/2006/relationships/hyperlink" Target="https://leetcode.com/problems/number-of-connected-components-in-an-undirected-graph/" TargetMode="External"/><Relationship Id="rId713" Type="http://schemas.openxmlformats.org/officeDocument/2006/relationships/hyperlink" Target="https://leetcode.com/problems/reorder-routes-to-make-all-paths-lead-to-the-city-zero/" TargetMode="External"/><Relationship Id="rId714" Type="http://schemas.openxmlformats.org/officeDocument/2006/relationships/hyperlink" Target="https://leetcode.com/problems/reorder-routes-to-make-all-paths-lead-to-the-city-zero/" TargetMode="External"/><Relationship Id="rId715" Type="http://schemas.openxmlformats.org/officeDocument/2006/relationships/hyperlink" Target="https://leetcode.com/problems/evaluate-division/" TargetMode="External"/><Relationship Id="rId716" Type="http://schemas.openxmlformats.org/officeDocument/2006/relationships/hyperlink" Target="https://leetcode.com/problems/evaluate-division/" TargetMode="External"/><Relationship Id="rId717" Type="http://schemas.openxmlformats.org/officeDocument/2006/relationships/hyperlink" Target="https://leetcode.com/problems/shortest-path-in-binary-matrix/" TargetMode="External"/><Relationship Id="rId718" Type="http://schemas.openxmlformats.org/officeDocument/2006/relationships/hyperlink" Target="https://leetcode.com/problems/shortest-path-in-binary-matrix/" TargetMode="External"/><Relationship Id="rId719" Type="http://schemas.openxmlformats.org/officeDocument/2006/relationships/hyperlink" Target="https://leetcode.com/problems/nearest-exit-from-entrance-in-maze/" TargetMode="External"/><Relationship Id="rId720" Type="http://schemas.openxmlformats.org/officeDocument/2006/relationships/hyperlink" Target="https://leetcode.com/problems/nearest-exit-from-entrance-in-maze/" TargetMode="External"/><Relationship Id="rId721" Type="http://schemas.openxmlformats.org/officeDocument/2006/relationships/hyperlink" Target="https://leetcode.com/problems/open-the-lock/" TargetMode="External"/><Relationship Id="rId722" Type="http://schemas.openxmlformats.org/officeDocument/2006/relationships/hyperlink" Target="https://leetcode.com/problems/open-the-lock/" TargetMode="External"/><Relationship Id="rId723" Type="http://schemas.openxmlformats.org/officeDocument/2006/relationships/hyperlink" Target="https://leetcode.com/problems/minimum-genetic-mutation/" TargetMode="External"/><Relationship Id="rId724" Type="http://schemas.openxmlformats.org/officeDocument/2006/relationships/hyperlink" Target="https://leetcode.com/problems/minimum-genetic-mutation/" TargetMode="External"/><Relationship Id="rId725" Type="http://schemas.openxmlformats.org/officeDocument/2006/relationships/hyperlink" Target="https://leetcode.com/problems/snakes-and-ladders/" TargetMode="External"/><Relationship Id="rId726" Type="http://schemas.openxmlformats.org/officeDocument/2006/relationships/hyperlink" Target="https://leetcode.com/problems/snakes-and-ladders/" TargetMode="External"/><Relationship Id="rId727" Type="http://schemas.openxmlformats.org/officeDocument/2006/relationships/hyperlink" Target="https://leetcode.com/problems/word-ladder/" TargetMode="External"/><Relationship Id="rId728" Type="http://schemas.openxmlformats.org/officeDocument/2006/relationships/hyperlink" Target="https://leetcode.com/problems/word-ladder/" TargetMode="External"/><Relationship Id="rId729" Type="http://schemas.openxmlformats.org/officeDocument/2006/relationships/hyperlink" Target="https://leetcode.com/problems/bus-routes/" TargetMode="External"/><Relationship Id="rId730" Type="http://schemas.openxmlformats.org/officeDocument/2006/relationships/hyperlink" Target="https://leetcode.com/problems/bus-routes/" TargetMode="External"/><Relationship Id="rId731" Type="http://schemas.openxmlformats.org/officeDocument/2006/relationships/hyperlink" Target="https://leetcode.com/problems/graph-valid-tree/" TargetMode="External"/><Relationship Id="rId732" Type="http://schemas.openxmlformats.org/officeDocument/2006/relationships/hyperlink" Target="https://leetcode.com/problems/graph-valid-tree/" TargetMode="External"/><Relationship Id="rId733" Type="http://schemas.openxmlformats.org/officeDocument/2006/relationships/hyperlink" Target="https://leetcode.com/problems/find-eventual-safe-states/" TargetMode="External"/><Relationship Id="rId734" Type="http://schemas.openxmlformats.org/officeDocument/2006/relationships/hyperlink" Target="https://leetcode.com/problems/find-eventual-safe-states/" TargetMode="External"/><Relationship Id="rId735" Type="http://schemas.openxmlformats.org/officeDocument/2006/relationships/hyperlink" Target="https://leetcode.com/problems/is-graph-bipartite/" TargetMode="External"/><Relationship Id="rId736" Type="http://schemas.openxmlformats.org/officeDocument/2006/relationships/hyperlink" Target="https://leetcode.com/problems/is-graph-bipartite/" TargetMode="External"/><Relationship Id="rId737" Type="http://schemas.openxmlformats.org/officeDocument/2006/relationships/hyperlink" Target="https://leetcode.com/problems/possible-bipartition/" TargetMode="External"/><Relationship Id="rId738" Type="http://schemas.openxmlformats.org/officeDocument/2006/relationships/hyperlink" Target="https://leetcode.com/problems/possible-bipartition/" TargetMode="External"/><Relationship Id="rId739" Type="http://schemas.openxmlformats.org/officeDocument/2006/relationships/hyperlink" Target="https://leetcode.com/problems/course-schedule/" TargetMode="External"/><Relationship Id="rId740" Type="http://schemas.openxmlformats.org/officeDocument/2006/relationships/hyperlink" Target="https://leetcode.com/problems/course-schedule/" TargetMode="External"/><Relationship Id="rId741" Type="http://schemas.openxmlformats.org/officeDocument/2006/relationships/hyperlink" Target="https://leetcode.com/problems/course-schedule-ii/" TargetMode="External"/><Relationship Id="rId742" Type="http://schemas.openxmlformats.org/officeDocument/2006/relationships/hyperlink" Target="https://leetcode.com/problems/course-schedule-ii/" TargetMode="External"/><Relationship Id="rId743" Type="http://schemas.openxmlformats.org/officeDocument/2006/relationships/hyperlink" Target="https://leetcode.com/problems/minimum-height-trees/" TargetMode="External"/><Relationship Id="rId744" Type="http://schemas.openxmlformats.org/officeDocument/2006/relationships/hyperlink" Target="https://leetcode.com/problems/minimum-height-trees/" TargetMode="External"/><Relationship Id="rId745" Type="http://schemas.openxmlformats.org/officeDocument/2006/relationships/hyperlink" Target="https://leetcode.com/problems/find-all-possible-recipes-from-given-supplies/" TargetMode="External"/><Relationship Id="rId746" Type="http://schemas.openxmlformats.org/officeDocument/2006/relationships/hyperlink" Target="https://leetcode.com/problems/find-all-possible-recipes-from-given-supplies/" TargetMode="External"/><Relationship Id="rId747" Type="http://schemas.openxmlformats.org/officeDocument/2006/relationships/hyperlink" Target="https://leetcode.com/problems/alien-dictionary/" TargetMode="External"/><Relationship Id="rId748" Type="http://schemas.openxmlformats.org/officeDocument/2006/relationships/hyperlink" Target="https://leetcode.com/problems/alien-dictionary/" TargetMode="External"/><Relationship Id="rId749" Type="http://schemas.openxmlformats.org/officeDocument/2006/relationships/hyperlink" Target="https://leetcode.com/problems/redundant-connection/" TargetMode="External"/><Relationship Id="rId750" Type="http://schemas.openxmlformats.org/officeDocument/2006/relationships/hyperlink" Target="https://leetcode.com/problems/redundant-connection/" TargetMode="External"/><Relationship Id="rId751" Type="http://schemas.openxmlformats.org/officeDocument/2006/relationships/hyperlink" Target="https://leetcode.com/problems/accounts-merge/" TargetMode="External"/><Relationship Id="rId752" Type="http://schemas.openxmlformats.org/officeDocument/2006/relationships/hyperlink" Target="https://leetcode.com/problems/accounts-merge/" TargetMode="External"/><Relationship Id="rId753" Type="http://schemas.openxmlformats.org/officeDocument/2006/relationships/hyperlink" Target="https://leetcode.com/problems/number-of-operations-to-make-network-connected/" TargetMode="External"/><Relationship Id="rId754" Type="http://schemas.openxmlformats.org/officeDocument/2006/relationships/hyperlink" Target="https://leetcode.com/problems/number-of-operations-to-make-network-connected/" TargetMode="External"/><Relationship Id="rId755" Type="http://schemas.openxmlformats.org/officeDocument/2006/relationships/hyperlink" Target="https://leetcode.com/problems/satisfiability-of-equality-equations/" TargetMode="External"/><Relationship Id="rId756" Type="http://schemas.openxmlformats.org/officeDocument/2006/relationships/hyperlink" Target="https://leetcode.com/problems/satisfiability-of-equality-equations/" TargetMode="External"/><Relationship Id="rId757" Type="http://schemas.openxmlformats.org/officeDocument/2006/relationships/hyperlink" Target="https://leetcode.com/problems/most-stones-removed-with-same-row-or-column/" TargetMode="External"/><Relationship Id="rId758" Type="http://schemas.openxmlformats.org/officeDocument/2006/relationships/hyperlink" Target="https://leetcode.com/problems/most-stones-removed-with-same-row-or-column/" TargetMode="External"/><Relationship Id="rId759" Type="http://schemas.openxmlformats.org/officeDocument/2006/relationships/hyperlink" Target="https://leetcode.com/problems/remove-max-number-of-edges-to-keep-graph-fully-traversable/" TargetMode="External"/><Relationship Id="rId760" Type="http://schemas.openxmlformats.org/officeDocument/2006/relationships/hyperlink" Target="https://leetcode.com/problems/remove-max-number-of-edges-to-keep-graph-fully-traversable/" TargetMode="External"/><Relationship Id="rId761" Type="http://schemas.openxmlformats.org/officeDocument/2006/relationships/hyperlink" Target="https://leetcode.com/problems/network-delay-time/" TargetMode="External"/><Relationship Id="rId762" Type="http://schemas.openxmlformats.org/officeDocument/2006/relationships/hyperlink" Target="https://leetcode.com/problems/network-delay-time/" TargetMode="External"/><Relationship Id="rId763" Type="http://schemas.openxmlformats.org/officeDocument/2006/relationships/hyperlink" Target="https://leetcode.com/problems/path-with-maximum-probability/" TargetMode="External"/><Relationship Id="rId764" Type="http://schemas.openxmlformats.org/officeDocument/2006/relationships/hyperlink" Target="https://leetcode.com/problems/path-with-maximum-probability/" TargetMode="External"/><Relationship Id="rId765" Type="http://schemas.openxmlformats.org/officeDocument/2006/relationships/hyperlink" Target="https://leetcode.com/problems/path-with-minimum-effort/" TargetMode="External"/><Relationship Id="rId766" Type="http://schemas.openxmlformats.org/officeDocument/2006/relationships/hyperlink" Target="https://leetcode.com/problems/path-with-minimum-effort/" TargetMode="External"/><Relationship Id="rId767" Type="http://schemas.openxmlformats.org/officeDocument/2006/relationships/hyperlink" Target="https://leetcode.com/problems/number-of-ways-to-arrive-at-destination/" TargetMode="External"/><Relationship Id="rId768" Type="http://schemas.openxmlformats.org/officeDocument/2006/relationships/hyperlink" Target="https://leetcode.com/problems/number-of-ways-to-arrive-at-destination/" TargetMode="External"/><Relationship Id="rId769" Type="http://schemas.openxmlformats.org/officeDocument/2006/relationships/hyperlink" Target="https://leetcode.com/problems/swim-in-rising-water/" TargetMode="External"/><Relationship Id="rId770" Type="http://schemas.openxmlformats.org/officeDocument/2006/relationships/hyperlink" Target="https://leetcode.com/problems/swim-in-rising-water/" TargetMode="External"/><Relationship Id="rId771" Type="http://schemas.openxmlformats.org/officeDocument/2006/relationships/hyperlink" Target="https://leetcode.com/problems/cheapest-flights-within-k-stops/" TargetMode="External"/><Relationship Id="rId772" Type="http://schemas.openxmlformats.org/officeDocument/2006/relationships/hyperlink" Target="https://leetcode.com/problems/cheapest-flights-within-k-stops/" TargetMode="External"/><Relationship Id="rId773" Type="http://schemas.openxmlformats.org/officeDocument/2006/relationships/hyperlink" Target="https://leetcode.com/problems/minimum-obstacle-removal-to-reach-corner/" TargetMode="External"/><Relationship Id="rId774" Type="http://schemas.openxmlformats.org/officeDocument/2006/relationships/hyperlink" Target="https://leetcode.com/problems/minimum-obstacle-removal-to-reach-corner/" TargetMode="External"/><Relationship Id="rId775" Type="http://schemas.openxmlformats.org/officeDocument/2006/relationships/hyperlink" Target="https://leetcode.com/problems/find-the-city-with-the-smallest-number-of-neighbors-at-a-threshold-distance/" TargetMode="External"/><Relationship Id="rId776" Type="http://schemas.openxmlformats.org/officeDocument/2006/relationships/hyperlink" Target="https://leetcode.com/problems/find-the-city-with-the-smallest-number-of-neighbors-at-a-threshold-distance/" TargetMode="External"/><Relationship Id="rId777" Type="http://schemas.openxmlformats.org/officeDocument/2006/relationships/hyperlink" Target="https://leetcode.com/problems/min-cost-to-connect-all-points/" TargetMode="External"/><Relationship Id="rId778" Type="http://schemas.openxmlformats.org/officeDocument/2006/relationships/hyperlink" Target="https://leetcode.com/problems/min-cost-to-connect-all-points/" TargetMode="External"/><Relationship Id="rId779" Type="http://schemas.openxmlformats.org/officeDocument/2006/relationships/hyperlink" Target="https://leetcode.com/problems/find-critical-and-pseudo-critical-edges-in-minimum-spanning-tree/" TargetMode="External"/><Relationship Id="rId780" Type="http://schemas.openxmlformats.org/officeDocument/2006/relationships/hyperlink" Target="https://leetcode.com/problems/find-critical-and-pseudo-critical-edges-in-minimum-spanning-tree/" TargetMode="External"/><Relationship Id="rId781" Type="http://schemas.openxmlformats.org/officeDocument/2006/relationships/hyperlink" Target="https://leetcode.com/problems/reconstruct-itinerary/" TargetMode="External"/><Relationship Id="rId782" Type="http://schemas.openxmlformats.org/officeDocument/2006/relationships/hyperlink" Target="https://leetcode.com/problems/reconstruct-itinerary/" TargetMode="External"/><Relationship Id="rId783" Type="http://schemas.openxmlformats.org/officeDocument/2006/relationships/hyperlink" Target="https://leetcode.com/problems/cracking-the-safe/" TargetMode="External"/><Relationship Id="rId784" Type="http://schemas.openxmlformats.org/officeDocument/2006/relationships/hyperlink" Target="https://leetcode.com/problems/cracking-the-safe/" TargetMode="External"/><Relationship Id="rId785" Type="http://schemas.openxmlformats.org/officeDocument/2006/relationships/hyperlink" Target="https://leetcode.com/problems/critical-connections-in-a-network/" TargetMode="External"/><Relationship Id="rId786" Type="http://schemas.openxmlformats.org/officeDocument/2006/relationships/hyperlink" Target="https://leetcode.com/problems/critical-connections-in-a-network/" TargetMode="External"/><Relationship Id="rId787" Type="http://schemas.openxmlformats.org/officeDocument/2006/relationships/hyperlink" Target="https://leetcode.com/problems/jump-game/" TargetMode="External"/><Relationship Id="rId788" Type="http://schemas.openxmlformats.org/officeDocument/2006/relationships/hyperlink" Target="https://leetcode.com/problems/jump-game/" TargetMode="External"/><Relationship Id="rId789" Type="http://schemas.openxmlformats.org/officeDocument/2006/relationships/hyperlink" Target="https://leetcode.com/problems/jump-game-ii/" TargetMode="External"/><Relationship Id="rId790" Type="http://schemas.openxmlformats.org/officeDocument/2006/relationships/hyperlink" Target="https://leetcode.com/problems/jump-game-ii/" TargetMode="External"/><Relationship Id="rId791" Type="http://schemas.openxmlformats.org/officeDocument/2006/relationships/hyperlink" Target="https://leetcode.com/problems/jump-game-iii/" TargetMode="External"/><Relationship Id="rId792" Type="http://schemas.openxmlformats.org/officeDocument/2006/relationships/hyperlink" Target="https://leetcode.com/problems/jump-game-iii/" TargetMode="External"/><Relationship Id="rId793" Type="http://schemas.openxmlformats.org/officeDocument/2006/relationships/hyperlink" Target="https://leetcode.com/problems/assign-cookies/" TargetMode="External"/><Relationship Id="rId794" Type="http://schemas.openxmlformats.org/officeDocument/2006/relationships/hyperlink" Target="https://leetcode.com/problems/assign-cookies/" TargetMode="External"/><Relationship Id="rId795" Type="http://schemas.openxmlformats.org/officeDocument/2006/relationships/hyperlink" Target="https://leetcode.com/problems/two-city-scheduling/" TargetMode="External"/><Relationship Id="rId796" Type="http://schemas.openxmlformats.org/officeDocument/2006/relationships/hyperlink" Target="https://leetcode.com/problems/two-city-scheduling/" TargetMode="External"/><Relationship Id="rId797" Type="http://schemas.openxmlformats.org/officeDocument/2006/relationships/hyperlink" Target="https://leetcode.com/problems/hand-of-straights/" TargetMode="External"/><Relationship Id="rId798" Type="http://schemas.openxmlformats.org/officeDocument/2006/relationships/hyperlink" Target="https://leetcode.com/problems/hand-of-straights/" TargetMode="External"/><Relationship Id="rId799" Type="http://schemas.openxmlformats.org/officeDocument/2006/relationships/hyperlink" Target="https://leetcode.com/problems/merge-triplets-to-form-target-triplet/" TargetMode="External"/><Relationship Id="rId800" Type="http://schemas.openxmlformats.org/officeDocument/2006/relationships/hyperlink" Target="https://leetcode.com/problems/merge-triplets-to-form-target-triplet/" TargetMode="External"/><Relationship Id="rId801" Type="http://schemas.openxmlformats.org/officeDocument/2006/relationships/hyperlink" Target="https://leetcode.com/problems/partition-labels/" TargetMode="External"/><Relationship Id="rId802" Type="http://schemas.openxmlformats.org/officeDocument/2006/relationships/hyperlink" Target="https://leetcode.com/problems/partition-labels/" TargetMode="External"/><Relationship Id="rId803" Type="http://schemas.openxmlformats.org/officeDocument/2006/relationships/hyperlink" Target="https://leetcode.com/problems/lemonade-change/" TargetMode="External"/><Relationship Id="rId804" Type="http://schemas.openxmlformats.org/officeDocument/2006/relationships/hyperlink" Target="https://leetcode.com/problems/lemonade-change/" TargetMode="External"/><Relationship Id="rId805" Type="http://schemas.openxmlformats.org/officeDocument/2006/relationships/hyperlink" Target="https://leetcode.com/problems/can-place-flowers/" TargetMode="External"/><Relationship Id="rId806" Type="http://schemas.openxmlformats.org/officeDocument/2006/relationships/hyperlink" Target="https://leetcode.com/problems/can-place-flowers/" TargetMode="External"/><Relationship Id="rId807" Type="http://schemas.openxmlformats.org/officeDocument/2006/relationships/hyperlink" Target="https://leetcode.com/problems/gas-station/" TargetMode="External"/><Relationship Id="rId808" Type="http://schemas.openxmlformats.org/officeDocument/2006/relationships/hyperlink" Target="https://leetcode.com/problems/gas-station/" TargetMode="External"/><Relationship Id="rId809" Type="http://schemas.openxmlformats.org/officeDocument/2006/relationships/hyperlink" Target="https://leetcode.com/problems/increasing-triplet-subsequence/" TargetMode="External"/><Relationship Id="rId810" Type="http://schemas.openxmlformats.org/officeDocument/2006/relationships/hyperlink" Target="https://leetcode.com/problems/increasing-triplet-subsequence/" TargetMode="External"/><Relationship Id="rId811" Type="http://schemas.openxmlformats.org/officeDocument/2006/relationships/hyperlink" Target="https://leetcode.com/problems/valid-parenthesis-string/" TargetMode="External"/><Relationship Id="rId812" Type="http://schemas.openxmlformats.org/officeDocument/2006/relationships/hyperlink" Target="https://leetcode.com/problems/valid-parenthesis-string/" TargetMode="External"/><Relationship Id="rId813" Type="http://schemas.openxmlformats.org/officeDocument/2006/relationships/hyperlink" Target="https://leetcode.com/problems/candy/" TargetMode="External"/><Relationship Id="rId814" Type="http://schemas.openxmlformats.org/officeDocument/2006/relationships/hyperlink" Target="https://leetcode.com/problems/candy/" TargetMode="External"/><Relationship Id="rId815" Type="http://schemas.openxmlformats.org/officeDocument/2006/relationships/hyperlink" Target="https://leetcode.com/problems/patching-array/" TargetMode="External"/><Relationship Id="rId816" Type="http://schemas.openxmlformats.org/officeDocument/2006/relationships/hyperlink" Target="https://leetcode.com/problems/patching-array/" TargetMode="External"/><Relationship Id="rId817" Type="http://schemas.openxmlformats.org/officeDocument/2006/relationships/hyperlink" Target="https://leetcode.com/problems/single-number/" TargetMode="External"/><Relationship Id="rId818" Type="http://schemas.openxmlformats.org/officeDocument/2006/relationships/hyperlink" Target="https://leetcode.com/problems/single-number/" TargetMode="External"/><Relationship Id="rId819" Type="http://schemas.openxmlformats.org/officeDocument/2006/relationships/hyperlink" Target="https://leetcode.com/problems/missing-number/" TargetMode="External"/><Relationship Id="rId820" Type="http://schemas.openxmlformats.org/officeDocument/2006/relationships/hyperlink" Target="https://leetcode.com/problems/missing-number/" TargetMode="External"/><Relationship Id="rId821" Type="http://schemas.openxmlformats.org/officeDocument/2006/relationships/hyperlink" Target="https://leetcode.com/problems/single-number-ii/" TargetMode="External"/><Relationship Id="rId822" Type="http://schemas.openxmlformats.org/officeDocument/2006/relationships/hyperlink" Target="https://leetcode.com/problems/single-number-ii/" TargetMode="External"/><Relationship Id="rId823" Type="http://schemas.openxmlformats.org/officeDocument/2006/relationships/hyperlink" Target="https://leetcode.com/problems/single-number-iii/" TargetMode="External"/><Relationship Id="rId824" Type="http://schemas.openxmlformats.org/officeDocument/2006/relationships/hyperlink" Target="https://leetcode.com/problems/single-number-iii/" TargetMode="External"/><Relationship Id="rId825" Type="http://schemas.openxmlformats.org/officeDocument/2006/relationships/hyperlink" Target="https://leetcode.com/problems/xor-queries-of-a-subarray/" TargetMode="External"/><Relationship Id="rId826" Type="http://schemas.openxmlformats.org/officeDocument/2006/relationships/hyperlink" Target="https://leetcode.com/problems/xor-queries-of-a-subarray/" TargetMode="External"/><Relationship Id="rId827" Type="http://schemas.openxmlformats.org/officeDocument/2006/relationships/hyperlink" Target="https://leetcode.com/problems/number-of-1-bits/" TargetMode="External"/><Relationship Id="rId828" Type="http://schemas.openxmlformats.org/officeDocument/2006/relationships/hyperlink" Target="https://leetcode.com/problems/number-of-1-bits/" TargetMode="External"/><Relationship Id="rId829" Type="http://schemas.openxmlformats.org/officeDocument/2006/relationships/hyperlink" Target="https://leetcode.com/problems/counting-bits/" TargetMode="External"/><Relationship Id="rId830" Type="http://schemas.openxmlformats.org/officeDocument/2006/relationships/hyperlink" Target="https://leetcode.com/problems/counting-bits/" TargetMode="External"/><Relationship Id="rId831" Type="http://schemas.openxmlformats.org/officeDocument/2006/relationships/hyperlink" Target="https://leetcode.com/problems/reverse-bits/" TargetMode="External"/><Relationship Id="rId832" Type="http://schemas.openxmlformats.org/officeDocument/2006/relationships/hyperlink" Target="https://leetcode.com/problems/reverse-bits/" TargetMode="External"/><Relationship Id="rId833" Type="http://schemas.openxmlformats.org/officeDocument/2006/relationships/hyperlink" Target="https://leetcode.com/problems/power-of-two/" TargetMode="External"/><Relationship Id="rId834" Type="http://schemas.openxmlformats.org/officeDocument/2006/relationships/hyperlink" Target="https://leetcode.com/problems/power-of-two/" TargetMode="External"/><Relationship Id="rId835" Type="http://schemas.openxmlformats.org/officeDocument/2006/relationships/hyperlink" Target="https://leetcode.com/problems/hamming-distance/" TargetMode="External"/><Relationship Id="rId836" Type="http://schemas.openxmlformats.org/officeDocument/2006/relationships/hyperlink" Target="https://leetcode.com/problems/hamming-distance/" TargetMode="External"/><Relationship Id="rId837" Type="http://schemas.openxmlformats.org/officeDocument/2006/relationships/hyperlink" Target="https://leetcode.com/problems/minimum-flips-to-make-a-or-b-equal-to-c/" TargetMode="External"/><Relationship Id="rId838" Type="http://schemas.openxmlformats.org/officeDocument/2006/relationships/hyperlink" Target="https://leetcode.com/problems/minimum-flips-to-make-a-or-b-equal-to-c/" TargetMode="External"/><Relationship Id="rId839" Type="http://schemas.openxmlformats.org/officeDocument/2006/relationships/hyperlink" Target="https://leetcode.com/problems/sum-of-two-integers/" TargetMode="External"/><Relationship Id="rId840" Type="http://schemas.openxmlformats.org/officeDocument/2006/relationships/hyperlink" Target="https://leetcode.com/problems/sum-of-two-integers/" TargetMode="External"/><Relationship Id="rId841" Type="http://schemas.openxmlformats.org/officeDocument/2006/relationships/hyperlink" Target="https://leetcode.com/problems/reverse-integer/" TargetMode="External"/><Relationship Id="rId842" Type="http://schemas.openxmlformats.org/officeDocument/2006/relationships/hyperlink" Target="https://leetcode.com/problems/reverse-integer/" TargetMode="External"/><Relationship Id="rId843" Type="http://schemas.openxmlformats.org/officeDocument/2006/relationships/hyperlink" Target="https://leetcode.com/problems/divide-two-integers/" TargetMode="External"/><Relationship Id="rId844" Type="http://schemas.openxmlformats.org/officeDocument/2006/relationships/hyperlink" Target="https://leetcode.com/problems/divide-two-integers/" TargetMode="External"/><Relationship Id="rId845" Type="http://schemas.openxmlformats.org/officeDocument/2006/relationships/hyperlink" Target="https://leetcode.com/problems/bitwise-and-of-numbers-range/" TargetMode="External"/><Relationship Id="rId846" Type="http://schemas.openxmlformats.org/officeDocument/2006/relationships/hyperlink" Target="https://leetcode.com/problems/bitwise-and-of-numbers-range/" TargetMode="External"/><Relationship Id="rId847" Type="http://schemas.openxmlformats.org/officeDocument/2006/relationships/hyperlink" Target="https://leetcode.com/problems/climbing-stairs/" TargetMode="External"/><Relationship Id="rId848" Type="http://schemas.openxmlformats.org/officeDocument/2006/relationships/hyperlink" Target="https://leetcode.com/problems/climbing-stairs/" TargetMode="External"/><Relationship Id="rId849" Type="http://schemas.openxmlformats.org/officeDocument/2006/relationships/hyperlink" Target="https://leetcode.com/problems/min-cost-climbing-stairs/" TargetMode="External"/><Relationship Id="rId850" Type="http://schemas.openxmlformats.org/officeDocument/2006/relationships/hyperlink" Target="https://leetcode.com/problems/min-cost-climbing-stairs/" TargetMode="External"/><Relationship Id="rId851" Type="http://schemas.openxmlformats.org/officeDocument/2006/relationships/hyperlink" Target="https://leetcode.com/problems/n-th-tribonacci-number/" TargetMode="External"/><Relationship Id="rId852" Type="http://schemas.openxmlformats.org/officeDocument/2006/relationships/hyperlink" Target="https://leetcode.com/problems/n-th-tribonacci-number/" TargetMode="External"/><Relationship Id="rId853" Type="http://schemas.openxmlformats.org/officeDocument/2006/relationships/hyperlink" Target="https://leetcode.com/problems/house-robber/" TargetMode="External"/><Relationship Id="rId854" Type="http://schemas.openxmlformats.org/officeDocument/2006/relationships/hyperlink" Target="https://leetcode.com/problems/house-robber/" TargetMode="External"/><Relationship Id="rId855" Type="http://schemas.openxmlformats.org/officeDocument/2006/relationships/hyperlink" Target="https://leetcode.com/problems/house-robber-ii/" TargetMode="External"/><Relationship Id="rId856" Type="http://schemas.openxmlformats.org/officeDocument/2006/relationships/hyperlink" Target="https://leetcode.com/problems/house-robber-ii/" TargetMode="External"/><Relationship Id="rId857" Type="http://schemas.openxmlformats.org/officeDocument/2006/relationships/hyperlink" Target="https://leetcode.com/problems/delete-and-earn/" TargetMode="External"/><Relationship Id="rId858" Type="http://schemas.openxmlformats.org/officeDocument/2006/relationships/hyperlink" Target="https://leetcode.com/problems/delete-and-earn/" TargetMode="External"/><Relationship Id="rId859" Type="http://schemas.openxmlformats.org/officeDocument/2006/relationships/hyperlink" Target="https://leetcode.com/problems/domino-and-tromino-tiling/" TargetMode="External"/><Relationship Id="rId860" Type="http://schemas.openxmlformats.org/officeDocument/2006/relationships/hyperlink" Target="https://leetcode.com/problems/domino-and-tromino-tiling/" TargetMode="External"/><Relationship Id="rId861" Type="http://schemas.openxmlformats.org/officeDocument/2006/relationships/hyperlink" Target="https://leetcode.com/problems/solving-questions-with-brainpower/" TargetMode="External"/><Relationship Id="rId862" Type="http://schemas.openxmlformats.org/officeDocument/2006/relationships/hyperlink" Target="https://leetcode.com/problems/solving-questions-with-brainpower/" TargetMode="External"/><Relationship Id="rId863" Type="http://schemas.openxmlformats.org/officeDocument/2006/relationships/hyperlink" Target="https://leetcode.com/problems/decode-ways/" TargetMode="External"/><Relationship Id="rId864" Type="http://schemas.openxmlformats.org/officeDocument/2006/relationships/hyperlink" Target="https://leetcode.com/problems/decode-ways/" TargetMode="External"/><Relationship Id="rId865" Type="http://schemas.openxmlformats.org/officeDocument/2006/relationships/hyperlink" Target="https://leetcode.com/problems/word-break/" TargetMode="External"/><Relationship Id="rId866" Type="http://schemas.openxmlformats.org/officeDocument/2006/relationships/hyperlink" Target="https://leetcode.com/problems/word-break/" TargetMode="External"/><Relationship Id="rId867" Type="http://schemas.openxmlformats.org/officeDocument/2006/relationships/hyperlink" Target="https://leetcode.com/problems/combination-sum-iv/" TargetMode="External"/><Relationship Id="rId868" Type="http://schemas.openxmlformats.org/officeDocument/2006/relationships/hyperlink" Target="https://leetcode.com/problems/combination-sum-iv/" TargetMode="External"/><Relationship Id="rId869" Type="http://schemas.openxmlformats.org/officeDocument/2006/relationships/hyperlink" Target="https://leetcode.com/problems/word-break-ii/" TargetMode="External"/><Relationship Id="rId870" Type="http://schemas.openxmlformats.org/officeDocument/2006/relationships/hyperlink" Target="https://leetcode.com/problems/word-break-ii/" TargetMode="External"/><Relationship Id="rId871" Type="http://schemas.openxmlformats.org/officeDocument/2006/relationships/hyperlink" Target="https://leetcode.com/problems/unique-paths/" TargetMode="External"/><Relationship Id="rId872" Type="http://schemas.openxmlformats.org/officeDocument/2006/relationships/hyperlink" Target="https://leetcode.com/problems/unique-paths/" TargetMode="External"/><Relationship Id="rId873" Type="http://schemas.openxmlformats.org/officeDocument/2006/relationships/hyperlink" Target="https://leetcode.com/problems/unique-paths-ii/" TargetMode="External"/><Relationship Id="rId874" Type="http://schemas.openxmlformats.org/officeDocument/2006/relationships/hyperlink" Target="https://leetcode.com/problems/unique-paths-ii/" TargetMode="External"/><Relationship Id="rId875" Type="http://schemas.openxmlformats.org/officeDocument/2006/relationships/hyperlink" Target="https://leetcode.com/problems/minimum-path-sum/" TargetMode="External"/><Relationship Id="rId876" Type="http://schemas.openxmlformats.org/officeDocument/2006/relationships/hyperlink" Target="https://leetcode.com/problems/minimum-path-sum/" TargetMode="External"/><Relationship Id="rId877" Type="http://schemas.openxmlformats.org/officeDocument/2006/relationships/hyperlink" Target="https://leetcode.com/problems/triangle/" TargetMode="External"/><Relationship Id="rId878" Type="http://schemas.openxmlformats.org/officeDocument/2006/relationships/hyperlink" Target="https://leetcode.com/problems/triangle/" TargetMode="External"/><Relationship Id="rId879" Type="http://schemas.openxmlformats.org/officeDocument/2006/relationships/hyperlink" Target="https://leetcode.com/problems/minimum-falling-path-sum/" TargetMode="External"/><Relationship Id="rId880" Type="http://schemas.openxmlformats.org/officeDocument/2006/relationships/hyperlink" Target="https://leetcode.com/problems/minimum-falling-path-sum/" TargetMode="External"/><Relationship Id="rId881" Type="http://schemas.openxmlformats.org/officeDocument/2006/relationships/hyperlink" Target="https://leetcode.com/problems/maximal-square/" TargetMode="External"/><Relationship Id="rId882" Type="http://schemas.openxmlformats.org/officeDocument/2006/relationships/hyperlink" Target="https://leetcode.com/problems/maximal-square/" TargetMode="External"/><Relationship Id="rId883" Type="http://schemas.openxmlformats.org/officeDocument/2006/relationships/hyperlink" Target="https://leetcode.com/problems/dungeon-game/" TargetMode="External"/><Relationship Id="rId884" Type="http://schemas.openxmlformats.org/officeDocument/2006/relationships/hyperlink" Target="https://leetcode.com/problems/dungeon-game/" TargetMode="External"/><Relationship Id="rId885" Type="http://schemas.openxmlformats.org/officeDocument/2006/relationships/hyperlink" Target="https://leetcode.com/problems/cherry-pickup-ii/" TargetMode="External"/><Relationship Id="rId886" Type="http://schemas.openxmlformats.org/officeDocument/2006/relationships/hyperlink" Target="https://leetcode.com/problems/cherry-pickup-ii/" TargetMode="External"/><Relationship Id="rId887" Type="http://schemas.openxmlformats.org/officeDocument/2006/relationships/hyperlink" Target="https://leetcode.com/problems/cherry-pickup/" TargetMode="External"/><Relationship Id="rId888" Type="http://schemas.openxmlformats.org/officeDocument/2006/relationships/hyperlink" Target="https://leetcode.com/problems/cherry-pickup/" TargetMode="External"/><Relationship Id="rId889" Type="http://schemas.openxmlformats.org/officeDocument/2006/relationships/hyperlink" Target="https://leetcode.com/problems/out-of-boundary-paths/" TargetMode="External"/><Relationship Id="rId890" Type="http://schemas.openxmlformats.org/officeDocument/2006/relationships/hyperlink" Target="https://leetcode.com/problems/out-of-boundary-paths/" TargetMode="External"/><Relationship Id="rId891" Type="http://schemas.openxmlformats.org/officeDocument/2006/relationships/hyperlink" Target="https://leetcode.com/problems/knight-probability-in-chessboard/" TargetMode="External"/><Relationship Id="rId892" Type="http://schemas.openxmlformats.org/officeDocument/2006/relationships/hyperlink" Target="https://leetcode.com/problems/knight-probability-in-chessboard/" TargetMode="External"/><Relationship Id="rId893" Type="http://schemas.openxmlformats.org/officeDocument/2006/relationships/hyperlink" Target="https://leetcode.com/problems/longest-increasing-path-in-a-matrix/" TargetMode="External"/><Relationship Id="rId894" Type="http://schemas.openxmlformats.org/officeDocument/2006/relationships/hyperlink" Target="https://leetcode.com/problems/longest-increasing-path-in-a-matrix/" TargetMode="External"/><Relationship Id="rId895" Type="http://schemas.openxmlformats.org/officeDocument/2006/relationships/hyperlink" Target="https://leetcode.com/problems/partition-equal-subset-sum/" TargetMode="External"/><Relationship Id="rId896" Type="http://schemas.openxmlformats.org/officeDocument/2006/relationships/hyperlink" Target="https://leetcode.com/problems/partition-equal-subset-sum/" TargetMode="External"/><Relationship Id="rId897" Type="http://schemas.openxmlformats.org/officeDocument/2006/relationships/hyperlink" Target="https://leetcode.com/problems/target-sum/" TargetMode="External"/><Relationship Id="rId898" Type="http://schemas.openxmlformats.org/officeDocument/2006/relationships/hyperlink" Target="https://leetcode.com/problems/target-sum/" TargetMode="External"/><Relationship Id="rId899" Type="http://schemas.openxmlformats.org/officeDocument/2006/relationships/hyperlink" Target="https://leetcode.com/problems/last-stone-weight-ii/" TargetMode="External"/><Relationship Id="rId900" Type="http://schemas.openxmlformats.org/officeDocument/2006/relationships/hyperlink" Target="https://leetcode.com/problems/last-stone-weight-ii/" TargetMode="External"/><Relationship Id="rId901" Type="http://schemas.openxmlformats.org/officeDocument/2006/relationships/hyperlink" Target="https://leetcode.com/problems/ones-and-zeroes/" TargetMode="External"/><Relationship Id="rId902" Type="http://schemas.openxmlformats.org/officeDocument/2006/relationships/hyperlink" Target="https://leetcode.com/problems/ones-and-zeroes/" TargetMode="External"/><Relationship Id="rId903" Type="http://schemas.openxmlformats.org/officeDocument/2006/relationships/hyperlink" Target="https://leetcode.com/problems/partition-array-into-two-arrays-to-minimize-sum-difference/" TargetMode="External"/><Relationship Id="rId904" Type="http://schemas.openxmlformats.org/officeDocument/2006/relationships/hyperlink" Target="https://leetcode.com/problems/partition-array-into-two-arrays-to-minimize-sum-difference/" TargetMode="External"/><Relationship Id="rId905" Type="http://schemas.openxmlformats.org/officeDocument/2006/relationships/hyperlink" Target="https://leetcode.com/problems/coin-change/" TargetMode="External"/><Relationship Id="rId906" Type="http://schemas.openxmlformats.org/officeDocument/2006/relationships/hyperlink" Target="https://leetcode.com/problems/coin-change/" TargetMode="External"/><Relationship Id="rId907" Type="http://schemas.openxmlformats.org/officeDocument/2006/relationships/hyperlink" Target="https://leetcode.com/problems/coin-change-ii/" TargetMode="External"/><Relationship Id="rId908" Type="http://schemas.openxmlformats.org/officeDocument/2006/relationships/hyperlink" Target="https://leetcode.com/problems/coin-change-ii/" TargetMode="External"/><Relationship Id="rId909" Type="http://schemas.openxmlformats.org/officeDocument/2006/relationships/hyperlink" Target="https://leetcode.com/problems/perfect-squares/" TargetMode="External"/><Relationship Id="rId910" Type="http://schemas.openxmlformats.org/officeDocument/2006/relationships/hyperlink" Target="https://leetcode.com/problems/perfect-squares/" TargetMode="External"/><Relationship Id="rId911" Type="http://schemas.openxmlformats.org/officeDocument/2006/relationships/hyperlink" Target="https://leetcode.com/problems/minimum-cost-for-tickets/" TargetMode="External"/><Relationship Id="rId912" Type="http://schemas.openxmlformats.org/officeDocument/2006/relationships/hyperlink" Target="https://leetcode.com/problems/minimum-cost-for-tickets/" TargetMode="External"/><Relationship Id="rId913" Type="http://schemas.openxmlformats.org/officeDocument/2006/relationships/hyperlink" Target="https://leetcode.com/problems/longest-increasing-subsequence/" TargetMode="External"/><Relationship Id="rId914" Type="http://schemas.openxmlformats.org/officeDocument/2006/relationships/hyperlink" Target="https://leetcode.com/problems/longest-increasing-subsequence/" TargetMode="External"/><Relationship Id="rId915" Type="http://schemas.openxmlformats.org/officeDocument/2006/relationships/hyperlink" Target="https://leetcode.com/problems/number-of-longest-increasing-subsequence/" TargetMode="External"/><Relationship Id="rId916" Type="http://schemas.openxmlformats.org/officeDocument/2006/relationships/hyperlink" Target="https://leetcode.com/problems/number-of-longest-increasing-subsequence/" TargetMode="External"/><Relationship Id="rId917" Type="http://schemas.openxmlformats.org/officeDocument/2006/relationships/hyperlink" Target="https://leetcode.com/problems/largest-divisible-subset/" TargetMode="External"/><Relationship Id="rId918" Type="http://schemas.openxmlformats.org/officeDocument/2006/relationships/hyperlink" Target="https://leetcode.com/problems/largest-divisible-subset/" TargetMode="External"/><Relationship Id="rId919" Type="http://schemas.openxmlformats.org/officeDocument/2006/relationships/hyperlink" Target="https://leetcode.com/problems/maximum-length-of-pair-chain/" TargetMode="External"/><Relationship Id="rId920" Type="http://schemas.openxmlformats.org/officeDocument/2006/relationships/hyperlink" Target="https://leetcode.com/problems/maximum-length-of-pair-chain/" TargetMode="External"/><Relationship Id="rId921" Type="http://schemas.openxmlformats.org/officeDocument/2006/relationships/hyperlink" Target="https://leetcode.com/problems/russian-doll-envelopes/" TargetMode="External"/><Relationship Id="rId922" Type="http://schemas.openxmlformats.org/officeDocument/2006/relationships/hyperlink" Target="https://leetcode.com/problems/russian-doll-envelopes/" TargetMode="External"/><Relationship Id="rId923" Type="http://schemas.openxmlformats.org/officeDocument/2006/relationships/hyperlink" Target="https://leetcode.com/problems/longest-common-subsequence/" TargetMode="External"/><Relationship Id="rId924" Type="http://schemas.openxmlformats.org/officeDocument/2006/relationships/hyperlink" Target="https://leetcode.com/problems/longest-common-subsequence/" TargetMode="External"/><Relationship Id="rId925" Type="http://schemas.openxmlformats.org/officeDocument/2006/relationships/hyperlink" Target="https://leetcode.com/problems/delete-operation-for-two-strings/" TargetMode="External"/><Relationship Id="rId926" Type="http://schemas.openxmlformats.org/officeDocument/2006/relationships/hyperlink" Target="https://leetcode.com/problems/delete-operation-for-two-strings/" TargetMode="External"/><Relationship Id="rId927" Type="http://schemas.openxmlformats.org/officeDocument/2006/relationships/hyperlink" Target="https://leetcode.com/problems/minimum-ascii-delete-sum-for-two-strings/" TargetMode="External"/><Relationship Id="rId928" Type="http://schemas.openxmlformats.org/officeDocument/2006/relationships/hyperlink" Target="https://leetcode.com/problems/minimum-ascii-delete-sum-for-two-strings/" TargetMode="External"/><Relationship Id="rId929" Type="http://schemas.openxmlformats.org/officeDocument/2006/relationships/hyperlink" Target="https://leetcode.com/problems/edit-distance/" TargetMode="External"/><Relationship Id="rId930" Type="http://schemas.openxmlformats.org/officeDocument/2006/relationships/hyperlink" Target="https://leetcode.com/problems/edit-distance/" TargetMode="External"/><Relationship Id="rId931" Type="http://schemas.openxmlformats.org/officeDocument/2006/relationships/hyperlink" Target="https://leetcode.com/problems/interleaving-string/" TargetMode="External"/><Relationship Id="rId932" Type="http://schemas.openxmlformats.org/officeDocument/2006/relationships/hyperlink" Target="https://leetcode.com/problems/interleaving-string/" TargetMode="External"/><Relationship Id="rId933" Type="http://schemas.openxmlformats.org/officeDocument/2006/relationships/hyperlink" Target="https://leetcode.com/problems/distinct-subsequences/" TargetMode="External"/><Relationship Id="rId934" Type="http://schemas.openxmlformats.org/officeDocument/2006/relationships/hyperlink" Target="https://leetcode.com/problems/distinct-subsequences/" TargetMode="External"/><Relationship Id="rId935" Type="http://schemas.openxmlformats.org/officeDocument/2006/relationships/hyperlink" Target="https://leetcode.com/problems/shortest-common-supersequence/" TargetMode="External"/><Relationship Id="rId936" Type="http://schemas.openxmlformats.org/officeDocument/2006/relationships/hyperlink" Target="https://leetcode.com/problems/shortest-common-supersequence/" TargetMode="External"/><Relationship Id="rId937" Type="http://schemas.openxmlformats.org/officeDocument/2006/relationships/hyperlink" Target="https://leetcode.com/problems/regular-expression-matching/" TargetMode="External"/><Relationship Id="rId938" Type="http://schemas.openxmlformats.org/officeDocument/2006/relationships/hyperlink" Target="https://leetcode.com/problems/regular-expression-matching/" TargetMode="External"/><Relationship Id="rId939" Type="http://schemas.openxmlformats.org/officeDocument/2006/relationships/hyperlink" Target="https://leetcode.com/problems/wildcard-matching/" TargetMode="External"/><Relationship Id="rId940" Type="http://schemas.openxmlformats.org/officeDocument/2006/relationships/hyperlink" Target="https://leetcode.com/problems/wildcard-matching/" TargetMode="External"/><Relationship Id="rId941" Type="http://schemas.openxmlformats.org/officeDocument/2006/relationships/hyperlink" Target="https://leetcode.com/problems/longest-palindromic-subsequence/" TargetMode="External"/><Relationship Id="rId942" Type="http://schemas.openxmlformats.org/officeDocument/2006/relationships/hyperlink" Target="https://leetcode.com/problems/longest-palindromic-subsequence/" TargetMode="External"/><Relationship Id="rId943" Type="http://schemas.openxmlformats.org/officeDocument/2006/relationships/hyperlink" Target="https://leetcode.com/problems/palindrome-partitioning-ii/" TargetMode="External"/><Relationship Id="rId944" Type="http://schemas.openxmlformats.org/officeDocument/2006/relationships/hyperlink" Target="https://leetcode.com/problems/palindrome-partitioning-ii/" TargetMode="External"/><Relationship Id="rId945" Type="http://schemas.openxmlformats.org/officeDocument/2006/relationships/hyperlink" Target="https://leetcode.com/problems/minimum-insertion-steps-to-make-a-string-palindrome/" TargetMode="External"/><Relationship Id="rId946" Type="http://schemas.openxmlformats.org/officeDocument/2006/relationships/hyperlink" Target="https://leetcode.com/problems/minimum-insertion-steps-to-make-a-string-palindrome/" TargetMode="External"/><Relationship Id="rId947" Type="http://schemas.openxmlformats.org/officeDocument/2006/relationships/hyperlink" Target="https://leetcode.com/problems/partition-array-for-maximum-sum/" TargetMode="External"/><Relationship Id="rId948" Type="http://schemas.openxmlformats.org/officeDocument/2006/relationships/hyperlink" Target="https://leetcode.com/problems/partition-array-for-maximum-sum/" TargetMode="External"/><Relationship Id="rId949" Type="http://schemas.openxmlformats.org/officeDocument/2006/relationships/hyperlink" Target="https://leetcode.com/problems/minimum-score-triangulation-of-polygon/" TargetMode="External"/><Relationship Id="rId950" Type="http://schemas.openxmlformats.org/officeDocument/2006/relationships/hyperlink" Target="https://leetcode.com/problems/minimum-score-triangulation-of-polygon/" TargetMode="External"/><Relationship Id="rId951" Type="http://schemas.openxmlformats.org/officeDocument/2006/relationships/hyperlink" Target="https://leetcode.com/problems/guess-number-higher-or-lower-ii/" TargetMode="External"/><Relationship Id="rId952" Type="http://schemas.openxmlformats.org/officeDocument/2006/relationships/hyperlink" Target="https://leetcode.com/problems/guess-number-higher-or-lower-ii/" TargetMode="External"/><Relationship Id="rId953" Type="http://schemas.openxmlformats.org/officeDocument/2006/relationships/hyperlink" Target="https://leetcode.com/problems/burst-balloons/" TargetMode="External"/><Relationship Id="rId954" Type="http://schemas.openxmlformats.org/officeDocument/2006/relationships/hyperlink" Target="https://leetcode.com/problems/burst-balloons/" TargetMode="External"/><Relationship Id="rId955" Type="http://schemas.openxmlformats.org/officeDocument/2006/relationships/hyperlink" Target="https://leetcode.com/problems/minimum-cost-to-cut-a-stick/" TargetMode="External"/><Relationship Id="rId956" Type="http://schemas.openxmlformats.org/officeDocument/2006/relationships/hyperlink" Target="https://leetcode.com/problems/minimum-cost-to-cut-a-stick/" TargetMode="External"/><Relationship Id="rId957" Type="http://schemas.openxmlformats.org/officeDocument/2006/relationships/hyperlink" Target="https://leetcode.com/problems/predict-the-winner/" TargetMode="External"/><Relationship Id="rId958" Type="http://schemas.openxmlformats.org/officeDocument/2006/relationships/hyperlink" Target="https://leetcode.com/problems/predict-the-winner/" TargetMode="External"/><Relationship Id="rId959" Type="http://schemas.openxmlformats.org/officeDocument/2006/relationships/hyperlink" Target="https://leetcode.com/problems/stone-game/" TargetMode="External"/><Relationship Id="rId960" Type="http://schemas.openxmlformats.org/officeDocument/2006/relationships/hyperlink" Target="https://leetcode.com/problems/stone-game/" TargetMode="External"/><Relationship Id="rId961" Type="http://schemas.openxmlformats.org/officeDocument/2006/relationships/hyperlink" Target="https://leetcode.com/problems/best-time-to-buy-and-sell-stock-ii/" TargetMode="External"/><Relationship Id="rId962" Type="http://schemas.openxmlformats.org/officeDocument/2006/relationships/hyperlink" Target="https://leetcode.com/problems/best-time-to-buy-and-sell-stock-ii/" TargetMode="External"/><Relationship Id="rId963" Type="http://schemas.openxmlformats.org/officeDocument/2006/relationships/hyperlink" Target="https://leetcode.com/problems/best-time-to-buy-and-sell-stock-with-cooldown/" TargetMode="External"/><Relationship Id="rId964" Type="http://schemas.openxmlformats.org/officeDocument/2006/relationships/hyperlink" Target="https://leetcode.com/problems/best-time-to-buy-and-sell-stock-with-cooldown/" TargetMode="External"/><Relationship Id="rId965" Type="http://schemas.openxmlformats.org/officeDocument/2006/relationships/hyperlink" Target="https://leetcode.com/problems/best-time-to-buy-and-sell-stock-with-transaction-fee/" TargetMode="External"/><Relationship Id="rId966" Type="http://schemas.openxmlformats.org/officeDocument/2006/relationships/hyperlink" Target="https://leetcode.com/problems/best-time-to-buy-and-sell-stock-with-transaction-fee/" TargetMode="External"/><Relationship Id="rId967" Type="http://schemas.openxmlformats.org/officeDocument/2006/relationships/hyperlink" Target="https://leetcode.com/problems/best-time-to-buy-and-sell-stock-iii/" TargetMode="External"/><Relationship Id="rId968" Type="http://schemas.openxmlformats.org/officeDocument/2006/relationships/hyperlink" Target="https://leetcode.com/problems/best-time-to-buy-and-sell-stock-iii/" TargetMode="External"/><Relationship Id="rId969" Type="http://schemas.openxmlformats.org/officeDocument/2006/relationships/hyperlink" Target="https://leetcode.com/problems/best-time-to-buy-and-sell-stock-iv/" TargetMode="External"/><Relationship Id="rId970" Type="http://schemas.openxmlformats.org/officeDocument/2006/relationships/hyperlink" Target="https://leetcode.com/problems/best-time-to-buy-and-sell-stock-iv/" TargetMode="External"/><Relationship Id="rId971" Type="http://schemas.openxmlformats.org/officeDocument/2006/relationships/hyperlink" Target="https://leetcode.com/problems/unique-binary-search-trees/" TargetMode="External"/><Relationship Id="rId972" Type="http://schemas.openxmlformats.org/officeDocument/2006/relationships/hyperlink" Target="https://leetcode.com/problems/unique-binary-search-trees/" TargetMode="External"/><Relationship Id="rId973" Type="http://schemas.openxmlformats.org/officeDocument/2006/relationships/hyperlink" Target="https://leetcode.com/problems/unique-binary-search-trees-ii/" TargetMode="External"/><Relationship Id="rId974" Type="http://schemas.openxmlformats.org/officeDocument/2006/relationships/hyperlink" Target="https://leetcode.com/problems/unique-binary-search-trees-ii/" TargetMode="External"/><Relationship Id="rId975" Type="http://schemas.openxmlformats.org/officeDocument/2006/relationships/hyperlink" Target="https://leetcode.com/problems/house-robber-iii/" TargetMode="External"/><Relationship Id="rId976" Type="http://schemas.openxmlformats.org/officeDocument/2006/relationships/hyperlink" Target="https://leetcode.com/problems/house-robber-iii/" TargetMode="External"/><Relationship Id="rId977" Type="http://schemas.openxmlformats.org/officeDocument/2006/relationships/hyperlink" Target="https://leetcode.com/problems/binary-tree-cameras/" TargetMode="External"/><Relationship Id="rId978" Type="http://schemas.openxmlformats.org/officeDocument/2006/relationships/hyperlink" Target="https://leetcode.com/problems/binary-tree-cameras/" TargetMode="External"/><Relationship Id="rId979" Type="http://schemas.openxmlformats.org/officeDocument/2006/relationships/hyperlink" Target="https://leetcode.com/problems/beautiful-arrangement/" TargetMode="External"/><Relationship Id="rId980" Type="http://schemas.openxmlformats.org/officeDocument/2006/relationships/hyperlink" Target="https://leetcode.com/problems/beautiful-arrangement/" TargetMode="External"/><Relationship Id="rId981" Type="http://schemas.openxmlformats.org/officeDocument/2006/relationships/hyperlink" Target="https://leetcode.com/problems/minimum-number-of-work-sessions-to-finish-the-tasks/" TargetMode="External"/><Relationship Id="rId982" Type="http://schemas.openxmlformats.org/officeDocument/2006/relationships/hyperlink" Target="https://leetcode.com/problems/minimum-number-of-work-sessions-to-finish-the-tasks/" TargetMode="External"/><Relationship Id="rId983" Type="http://schemas.openxmlformats.org/officeDocument/2006/relationships/hyperlink" Target="https://leetcode.com/problems/shortest-path-visiting-all-nodes/" TargetMode="External"/><Relationship Id="rId984" Type="http://schemas.openxmlformats.org/officeDocument/2006/relationships/hyperlink" Target="https://leetcode.com/problems/shortest-path-visiting-all-nodes/" TargetMode="External"/><Relationship Id="rId985" Type="http://schemas.openxmlformats.org/officeDocument/2006/relationships/hyperlink" Target="https://leetcode.com/problems/number-of-digit-one/" TargetMode="External"/><Relationship Id="rId986" Type="http://schemas.openxmlformats.org/officeDocument/2006/relationships/hyperlink" Target="https://leetcode.com/problems/number-of-digit-one/" TargetMode="External"/><Relationship Id="rId987" Type="http://schemas.openxmlformats.org/officeDocument/2006/relationships/hyperlink" Target="https://leetcode.com/problems/numbers-at-most-n-given-digit-set/" TargetMode="External"/><Relationship Id="rId988" Type="http://schemas.openxmlformats.org/officeDocument/2006/relationships/hyperlink" Target="https://leetcode.com/problems/numbers-at-most-n-given-digit-set/" TargetMode="External"/><Relationship Id="rId989" Type="http://schemas.openxmlformats.org/officeDocument/2006/relationships/hyperlink" Target="https://leetcode.com/problems/sort-an-array/" TargetMode="External"/><Relationship Id="rId990" Type="http://schemas.openxmlformats.org/officeDocument/2006/relationships/hyperlink" Target="https://leetcode.com/problems/sort-an-array/" TargetMode="External"/><Relationship Id="rId991" Type="http://schemas.openxmlformats.org/officeDocument/2006/relationships/hyperlink" Target="https://leetcode.com/problems/sort-list/" TargetMode="External"/><Relationship Id="rId992" Type="http://schemas.openxmlformats.org/officeDocument/2006/relationships/hyperlink" Target="https://leetcode.com/problems/sort-list/" TargetMode="External"/><Relationship Id="rId993" Type="http://schemas.openxmlformats.org/officeDocument/2006/relationships/hyperlink" Target="https://leetcode.com/problems/reverse-pairs/" TargetMode="External"/><Relationship Id="rId994" Type="http://schemas.openxmlformats.org/officeDocument/2006/relationships/hyperlink" Target="https://leetcode.com/problems/reverse-pairs/" TargetMode="External"/><Relationship Id="rId995" Type="http://schemas.openxmlformats.org/officeDocument/2006/relationships/hyperlink" Target="https://leetcode.com/problems/count-of-smaller-numbers-after-self/" TargetMode="External"/><Relationship Id="rId996" Type="http://schemas.openxmlformats.org/officeDocument/2006/relationships/hyperlink" Target="https://leetcode.com/problems/count-of-smaller-numbers-after-self/" TargetMode="External"/><Relationship Id="rId997" Type="http://schemas.openxmlformats.org/officeDocument/2006/relationships/hyperlink" Target="https://leetcode.com/problems/wiggle-sort-ii/" TargetMode="External"/><Relationship Id="rId998" Type="http://schemas.openxmlformats.org/officeDocument/2006/relationships/hyperlink" Target="https://leetcode.com/problems/wiggle-sort-ii/" TargetMode="External"/><Relationship Id="rId999" Type="http://schemas.openxmlformats.org/officeDocument/2006/relationships/hyperlink" Target="https://leetcode.com/problems/sort-array-by-increasing-frequency/" TargetMode="External"/><Relationship Id="rId1000" Type="http://schemas.openxmlformats.org/officeDocument/2006/relationships/hyperlink" Target="https://leetcode.com/problems/sort-array-by-increasing-frequency/" TargetMode="External"/><Relationship Id="rId1001" Type="http://schemas.openxmlformats.org/officeDocument/2006/relationships/hyperlink" Target="https://leetcode.com/problems/largest-number/" TargetMode="External"/><Relationship Id="rId1002" Type="http://schemas.openxmlformats.org/officeDocument/2006/relationships/hyperlink" Target="https://leetcode.com/problems/largest-number/" TargetMode="External"/><Relationship Id="rId1003" Type="http://schemas.openxmlformats.org/officeDocument/2006/relationships/hyperlink" Target="https://leetcode.com/problems/reorder-data-in-log-files/" TargetMode="External"/><Relationship Id="rId1004" Type="http://schemas.openxmlformats.org/officeDocument/2006/relationships/hyperlink" Target="https://leetcode.com/problems/reorder-data-in-log-files/" TargetMode="External"/><Relationship Id="rId1005" Type="http://schemas.openxmlformats.org/officeDocument/2006/relationships/hyperlink" Target="https://leetcode.com/problems/relative-sort-array/" TargetMode="External"/><Relationship Id="rId1006" Type="http://schemas.openxmlformats.org/officeDocument/2006/relationships/hyperlink" Target="https://leetcode.com/problems/relative-sort-array/" TargetMode="External"/><Relationship Id="rId1007" Type="http://schemas.openxmlformats.org/officeDocument/2006/relationships/hyperlink" Target="https://leetcode.com/problems/h-index/" TargetMode="External"/><Relationship Id="rId1008" Type="http://schemas.openxmlformats.org/officeDocument/2006/relationships/hyperlink" Target="https://leetcode.com/problems/h-index/" TargetMode="External"/><Relationship Id="rId1009" Type="http://schemas.openxmlformats.org/officeDocument/2006/relationships/hyperlink" Target="https://leetcode.com/problems/maximum-gap/" TargetMode="External"/><Relationship Id="rId1010" Type="http://schemas.openxmlformats.org/officeDocument/2006/relationships/hyperlink" Target="https://leetcode.com/problems/maximum-gap/" TargetMode="External"/><Relationship Id="rId1011" Type="http://schemas.openxmlformats.org/officeDocument/2006/relationships/hyperlink" Target="https://leetcode.com/problems/contains-duplicate-iii/" TargetMode="External"/><Relationship Id="rId1012" Type="http://schemas.openxmlformats.org/officeDocument/2006/relationships/hyperlink" Target="https://leetcode.com/problems/contains-duplicate-iii/" TargetMode="External"/><Relationship Id="rId1013" Type="http://schemas.openxmlformats.org/officeDocument/2006/relationships/hyperlink" Target="https://leetcode.com/problems/plus-one/" TargetMode="External"/><Relationship Id="rId1014" Type="http://schemas.openxmlformats.org/officeDocument/2006/relationships/hyperlink" Target="https://leetcode.com/problems/plus-one/" TargetMode="External"/><Relationship Id="rId1015" Type="http://schemas.openxmlformats.org/officeDocument/2006/relationships/hyperlink" Target="https://leetcode.com/problems/greatest-common-divisor-of-strings/" TargetMode="External"/><Relationship Id="rId1016" Type="http://schemas.openxmlformats.org/officeDocument/2006/relationships/hyperlink" Target="https://leetcode.com/problems/greatest-common-divisor-of-strings/" TargetMode="External"/><Relationship Id="rId1017" Type="http://schemas.openxmlformats.org/officeDocument/2006/relationships/hyperlink" Target="https://leetcode.com/problems/find-greatest-common-divisor-of-array/" TargetMode="External"/><Relationship Id="rId1018" Type="http://schemas.openxmlformats.org/officeDocument/2006/relationships/hyperlink" Target="https://leetcode.com/problems/find-greatest-common-divisor-of-array/" TargetMode="External"/><Relationship Id="rId1019" Type="http://schemas.openxmlformats.org/officeDocument/2006/relationships/hyperlink" Target="https://leetcode.com/problems/count-primes/" TargetMode="External"/><Relationship Id="rId1020" Type="http://schemas.openxmlformats.org/officeDocument/2006/relationships/hyperlink" Target="https://leetcode.com/problems/count-primes/" TargetMode="External"/><Relationship Id="rId1021" Type="http://schemas.openxmlformats.org/officeDocument/2006/relationships/hyperlink" Target="https://leetcode.com/problems/factorial-trailing-zeroes/" TargetMode="External"/><Relationship Id="rId1022" Type="http://schemas.openxmlformats.org/officeDocument/2006/relationships/hyperlink" Target="https://leetcode.com/problems/factorial-trailing-zeroes/" TargetMode="External"/><Relationship Id="rId1023" Type="http://schemas.openxmlformats.org/officeDocument/2006/relationships/hyperlink" Target="https://leetcode.com/problems/shuffle-an-array/" TargetMode="External"/><Relationship Id="rId1024" Type="http://schemas.openxmlformats.org/officeDocument/2006/relationships/hyperlink" Target="https://leetcode.com/problems/shuffle-an-array/" TargetMode="External"/><Relationship Id="rId1025" Type="http://schemas.openxmlformats.org/officeDocument/2006/relationships/hyperlink" Target="https://leetcode.com/problems/random-pick-with-weight/" TargetMode="External"/><Relationship Id="rId1026" Type="http://schemas.openxmlformats.org/officeDocument/2006/relationships/hyperlink" Target="https://leetcode.com/problems/random-pick-with-weight/" TargetMode="External"/><Relationship Id="rId1027" Type="http://schemas.openxmlformats.org/officeDocument/2006/relationships/hyperlink" Target="https://leetcode.com/problems/linked-list-random-node/" TargetMode="External"/><Relationship Id="rId1028" Type="http://schemas.openxmlformats.org/officeDocument/2006/relationships/hyperlink" Target="https://leetcode.com/problems/linked-list-random-node/" TargetMode="External"/><Relationship Id="rId1029" Type="http://schemas.openxmlformats.org/officeDocument/2006/relationships/hyperlink" Target="https://leetcode.com/problems/implement-rand10-using-rand7/" TargetMode="External"/><Relationship Id="rId1030" Type="http://schemas.openxmlformats.org/officeDocument/2006/relationships/hyperlink" Target="https://leetcode.com/problems/implement-rand10-using-rand7/" TargetMode="External"/><Relationship Id="rId1031" Type="http://schemas.openxmlformats.org/officeDocument/2006/relationships/hyperlink" Target="https://leetcode.com/problems/rectangle-overlap/" TargetMode="External"/><Relationship Id="rId1032" Type="http://schemas.openxmlformats.org/officeDocument/2006/relationships/hyperlink" Target="https://leetcode.com/problems/rectangle-overlap/" TargetMode="External"/><Relationship Id="rId1033" Type="http://schemas.openxmlformats.org/officeDocument/2006/relationships/hyperlink" Target="https://leetcode.com/problems/rectangle-area/" TargetMode="External"/><Relationship Id="rId1034" Type="http://schemas.openxmlformats.org/officeDocument/2006/relationships/hyperlink" Target="https://leetcode.com/problems/rectangle-area/" TargetMode="External"/><Relationship Id="rId1035" Type="http://schemas.openxmlformats.org/officeDocument/2006/relationships/hyperlink" Target="https://leetcode.com/problems/detect-squares/" TargetMode="External"/><Relationship Id="rId1036" Type="http://schemas.openxmlformats.org/officeDocument/2006/relationships/hyperlink" Target="https://leetcode.com/problems/detect-squares/" TargetMode="External"/><Relationship Id="rId1037" Type="http://schemas.openxmlformats.org/officeDocument/2006/relationships/hyperlink" Target="https://leetcode.com/problems/max-points-on-a-line/" TargetMode="External"/><Relationship Id="rId1038" Type="http://schemas.openxmlformats.org/officeDocument/2006/relationships/hyperlink" Target="https://leetcode.com/problems/max-points-on-a-line/" TargetMode="External"/><Relationship Id="rId1039" Type="http://schemas.openxmlformats.org/officeDocument/2006/relationships/hyperlink" Target="https://leetcode.com/problems/lru-cache/" TargetMode="External"/><Relationship Id="rId1040" Type="http://schemas.openxmlformats.org/officeDocument/2006/relationships/hyperlink" Target="https://leetcode.com/problems/lru-cache/" TargetMode="External"/><Relationship Id="rId1041" Type="http://schemas.openxmlformats.org/officeDocument/2006/relationships/hyperlink" Target="https://leetcode.com/problems/lfu-cache/" TargetMode="External"/><Relationship Id="rId1042" Type="http://schemas.openxmlformats.org/officeDocument/2006/relationships/hyperlink" Target="https://leetcode.com/problems/lfu-cache/" TargetMode="External"/><Relationship Id="rId1043" Type="http://schemas.openxmlformats.org/officeDocument/2006/relationships/hyperlink" Target="https://leetcode.com/problems/design-hashset/" TargetMode="External"/><Relationship Id="rId1044" Type="http://schemas.openxmlformats.org/officeDocument/2006/relationships/hyperlink" Target="https://leetcode.com/problems/design-hashset/" TargetMode="External"/><Relationship Id="rId1045" Type="http://schemas.openxmlformats.org/officeDocument/2006/relationships/hyperlink" Target="https://leetcode.com/problems/design-hashmap/" TargetMode="External"/><Relationship Id="rId1046" Type="http://schemas.openxmlformats.org/officeDocument/2006/relationships/hyperlink" Target="https://leetcode.com/problems/design-hashmap/" TargetMode="External"/><Relationship Id="rId1047" Type="http://schemas.openxmlformats.org/officeDocument/2006/relationships/hyperlink" Target="https://leetcode.com/problems/insert-delete-getrandom-o1/" TargetMode="External"/><Relationship Id="rId1048" Type="http://schemas.openxmlformats.org/officeDocument/2006/relationships/hyperlink" Target="https://leetcode.com/problems/insert-delete-getrandom-o1/" TargetMode="External"/><Relationship Id="rId1049" Type="http://schemas.openxmlformats.org/officeDocument/2006/relationships/hyperlink" Target="https://leetcode.com/problems/all-oone-data-structure/" TargetMode="External"/><Relationship Id="rId1050" Type="http://schemas.openxmlformats.org/officeDocument/2006/relationships/hyperlink" Target="https://leetcode.com/problems/all-oone-data-structure/" TargetMode="External"/><Relationship Id="rId1051" Type="http://schemas.openxmlformats.org/officeDocument/2006/relationships/hyperlink" Target="https://leetcode.com/problems/design-twitter/" TargetMode="External"/><Relationship Id="rId1052" Type="http://schemas.openxmlformats.org/officeDocument/2006/relationships/hyperlink" Target="https://leetcode.com/problems/design-twitter/" TargetMode="External"/><Relationship Id="rId1053" Type="http://schemas.openxmlformats.org/officeDocument/2006/relationships/hyperlink" Target="https://leetcode.com/problems/design-underground-system/" TargetMode="External"/><Relationship Id="rId1054" Type="http://schemas.openxmlformats.org/officeDocument/2006/relationships/hyperlink" Target="https://leetcode.com/problems/design-underground-system/" TargetMode="External"/><Relationship Id="rId1055" Type="http://schemas.openxmlformats.org/officeDocument/2006/relationships/hyperlink" Target="https://leetcode.com/problems/design-a-food-rating-system/" TargetMode="External"/><Relationship Id="rId1056" Type="http://schemas.openxmlformats.org/officeDocument/2006/relationships/hyperlink" Target="https://leetcode.com/problems/design-a-food-rating-system/" TargetMode="External"/><Relationship Id="rId1057" Type="http://schemas.openxmlformats.org/officeDocument/2006/relationships/hyperlink" Target="https://leetcode.com/problems/product-of-the-last-k-numbers/" TargetMode="External"/><Relationship Id="rId1058" Type="http://schemas.openxmlformats.org/officeDocument/2006/relationships/hyperlink" Target="https://leetcode.com/problems/product-of-the-last-k-numbers/" TargetMode="External"/><Relationship Id="rId1059" Type="http://schemas.openxmlformats.org/officeDocument/2006/relationships/hyperlink" Target="https://leetcode.com/problems/design-hit-counter/" TargetMode="External"/><Relationship Id="rId1060" Type="http://schemas.openxmlformats.org/officeDocument/2006/relationships/hyperlink" Target="https://leetcode.com/problems/design-hit-counter/" TargetMode="External"/><Relationship Id="rId1061" Type="http://schemas.openxmlformats.org/officeDocument/2006/relationships/hyperlink" Target="https://leetcode.com/problems/peeking-iterator/" TargetMode="External"/><Relationship Id="rId1062" Type="http://schemas.openxmlformats.org/officeDocument/2006/relationships/hyperlink" Target="https://leetcode.com/problems/peeking-iterator/" TargetMode="External"/><Relationship Id="rId1063" Type="http://schemas.openxmlformats.org/officeDocument/2006/relationships/hyperlink" Target="https://leetcode.com/problems/flatten-nested-list-iterator/" TargetMode="External"/><Relationship Id="rId1064" Type="http://schemas.openxmlformats.org/officeDocument/2006/relationships/hyperlink" Target="https://leetcode.com/problems/flatten-nested-list-iterator/" TargetMode="External"/><Relationship Id="rId1065" Type="http://schemas.openxmlformats.org/officeDocument/2006/relationships/hyperlink" Target="https://leetcode.com/problems/design-skiplist/" TargetMode="External"/><Relationship Id="rId1066" Type="http://schemas.openxmlformats.org/officeDocument/2006/relationships/hyperlink" Target="https://leetcode.com/problems/design-skiplist/" TargetMode="External"/><Relationship Id="rId1067" Type="http://schemas.openxmlformats.org/officeDocument/2006/relationships/hyperlink" Target="https://leetcode.com/problems/range-sum-query-mutable/" TargetMode="External"/><Relationship Id="rId1068" Type="http://schemas.openxmlformats.org/officeDocument/2006/relationships/hyperlink" Target="https://leetcode.com/problems/range-sum-query-mutable/" TargetMode="External"/><Relationship Id="rId1069" Type="http://schemas.openxmlformats.org/officeDocument/2006/relationships/hyperlink" Target="https://leetcode.com/problems/falling-squares/" TargetMode="External"/><Relationship Id="rId1070" Type="http://schemas.openxmlformats.org/officeDocument/2006/relationships/hyperlink" Target="https://leetcode.com/problems/falling-squares/" TargetMode="External"/><Relationship Id="rId1071" Type="http://schemas.openxmlformats.org/officeDocument/2006/relationships/hyperlink" Target="https://leetcode.com/problems/range-module/" TargetMode="External"/><Relationship Id="rId1072" Type="http://schemas.openxmlformats.org/officeDocument/2006/relationships/hyperlink" Target="https://leetcode.com/problems/range-module/" TargetMode="External"/><Relationship Id="rId1073" Type="http://schemas.openxmlformats.org/officeDocument/2006/relationships/hyperlink" Target="https://leetcode.com/problems/create-sorted-array-through-instructions/" TargetMode="External"/><Relationship Id="rId1074" Type="http://schemas.openxmlformats.org/officeDocument/2006/relationships/hyperlink" Target="https://leetcode.com/problems/create-sorted-array-through-instructions/" TargetMode="External"/><Relationship Id="rId1075" Type="http://schemas.openxmlformats.org/officeDocument/2006/relationships/hyperlink" Target="https://leetcode.com/problems/count-of-range-sum/" TargetMode="External"/><Relationship Id="rId1076" Type="http://schemas.openxmlformats.org/officeDocument/2006/relationships/hyperlink" Target="https://leetcode.com/problems/count-of-range-sum/" TargetMode="External"/><Relationship Id="rId1077" Type="http://schemas.openxmlformats.org/officeDocument/2006/relationships/hyperlink" Target="https://leetcode.com/problems/stock-price-fluctuation/" TargetMode="External"/><Relationship Id="rId1078" Type="http://schemas.openxmlformats.org/officeDocument/2006/relationships/hyperlink" Target="https://leetcode.com/problems/stock-price-fluctuation/" TargetMode="External"/><Relationship Id="rId1079" Type="http://schemas.openxmlformats.org/officeDocument/2006/relationships/hyperlink" Target="https://leetcode.com/problems/data-stream-as-disjoint-intervals/" TargetMode="External"/><Relationship Id="rId1080" Type="http://schemas.openxmlformats.org/officeDocument/2006/relationships/hyperlink" Target="https://leetcode.com/problems/data-stream-as-disjoint-intervals/" TargetMode="External"/><Relationship Id="rId108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9" min="6" style="0" width="11"/>
    <col collapsed="false" customWidth="true" hidden="false" outlineLevel="0" max="10" min="10" style="0" width="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D3" s="3" t="s">
        <v>2</v>
      </c>
      <c r="E3" s="3" t="s">
        <v>3</v>
      </c>
      <c r="F3" s="3" t="s">
        <v>4</v>
      </c>
      <c r="G3" s="3" t="s">
        <v>5</v>
      </c>
    </row>
    <row r="4" customFormat="false" ht="15" hidden="false" customHeight="false" outlineLevel="0" collapsed="false">
      <c r="A4" s="4" t="s">
        <v>6</v>
      </c>
      <c r="B4" s="5" t="n">
        <f aca="false">COUNTA('Problem Tracker'!$G$2:$G$541)</f>
        <v>540</v>
      </c>
      <c r="D4" s="6" t="s">
        <v>7</v>
      </c>
      <c r="E4" s="7" t="n">
        <f aca="false">COUNTIF('Problem Tracker'!$H:$H,"Easy")</f>
        <v>104</v>
      </c>
      <c r="F4" s="7" t="n">
        <f aca="false">(COUNTIFS('Problem Tracker'!$M:$M,"Solved",'Problem Tracker'!$H:$H,"Easy")+COUNTIFS('Problem Tracker'!$M:$M,"Mastered",'Problem Tracker'!$H:$H,"Easy"))</f>
        <v>1</v>
      </c>
      <c r="G4" s="8" t="n">
        <f aca="false">IF(E4=0,0,F4/E4)</f>
        <v>0.00961538461538462</v>
      </c>
    </row>
    <row r="5" customFormat="false" ht="15" hidden="false" customHeight="false" outlineLevel="0" collapsed="false">
      <c r="A5" s="9" t="s">
        <v>8</v>
      </c>
      <c r="B5" s="10" t="n">
        <f aca="false">(COUNTIFS('Problem Tracker'!$M:$M,"Solved")+COUNTIFS('Problem Tracker'!$M:$M,"Mastered"))</f>
        <v>1</v>
      </c>
      <c r="D5" s="11" t="s">
        <v>9</v>
      </c>
      <c r="E5" s="7" t="n">
        <f aca="false">COUNTIF('Problem Tracker'!$H:$H,"Medium")</f>
        <v>340</v>
      </c>
      <c r="F5" s="7" t="n">
        <f aca="false">(COUNTIFS('Problem Tracker'!$M:$M,"Solved",'Problem Tracker'!$H:$H,"Medium")+COUNTIFS('Problem Tracker'!$M:$M,"Mastered",'Problem Tracker'!$H:$H,"Medium"))</f>
        <v>0</v>
      </c>
      <c r="G5" s="8" t="n">
        <f aca="false">IF(E5=0,0,F5/E5)</f>
        <v>0</v>
      </c>
    </row>
    <row r="6" customFormat="false" ht="15" hidden="false" customHeight="false" outlineLevel="0" collapsed="false">
      <c r="A6" s="12" t="s">
        <v>10</v>
      </c>
      <c r="B6" s="13" t="n">
        <f aca="false">IF(B4=0,0,B5/B4)</f>
        <v>0.00185185185185185</v>
      </c>
      <c r="D6" s="14" t="s">
        <v>11</v>
      </c>
      <c r="E6" s="7" t="n">
        <f aca="false">COUNTIF('Problem Tracker'!$H:$H,"Hard")</f>
        <v>96</v>
      </c>
      <c r="F6" s="7" t="n">
        <f aca="false">(COUNTIFS('Problem Tracker'!$M:$M,"Solved",'Problem Tracker'!$H:$H,"Hard")+COUNTIFS('Problem Tracker'!$M:$M,"Mastered",'Problem Tracker'!$H:$H,"Hard"))</f>
        <v>0</v>
      </c>
      <c r="G6" s="8" t="n">
        <f aca="false">IF(E6=0,0,F6/E6)</f>
        <v>0</v>
      </c>
    </row>
    <row r="7" customFormat="false" ht="15" hidden="false" customHeight="false" outlineLevel="0" collapsed="false">
      <c r="A7" s="15" t="s">
        <v>12</v>
      </c>
      <c r="B7" s="16" t="n">
        <f aca="true">COUNTIFS('Problem Tracker'!$P$2:$P$541,"&lt;="&amp;TODAY(),'Problem Tracker'!$M$2:$M$541,"&lt;&gt;Mastered")</f>
        <v>0</v>
      </c>
      <c r="D7" s="17" t="s">
        <v>13</v>
      </c>
      <c r="E7" s="7" t="n">
        <f aca="false">COUNTIF('Problem Tracker'!$I:$I,"★ Blind 75")</f>
        <v>75</v>
      </c>
      <c r="F7" s="7" t="n">
        <f aca="false">(COUNTIFS('Problem Tracker'!$M:$M,"Solved",'Problem Tracker'!$I:$I,"★ Blind 75")+COUNTIFS('Problem Tracker'!$M:$M,"Mastered",'Problem Tracker'!$I:$I,"★ Blind 75"))</f>
        <v>1</v>
      </c>
      <c r="G7" s="8" t="n">
        <f aca="false">IF(E7=0,0,F7/E7)</f>
        <v>0.0133333333333333</v>
      </c>
    </row>
    <row r="8" customFormat="false" ht="15" hidden="false" customHeight="false" outlineLevel="0" collapsed="false">
      <c r="D8" s="18" t="s">
        <v>14</v>
      </c>
      <c r="E8" s="7" t="n">
        <f aca="false">COUNTIF('Problem Tracker'!$I:$I,"◆ NeetCode 150")</f>
        <v>76</v>
      </c>
      <c r="F8" s="7" t="n">
        <f aca="false">(COUNTIFS('Problem Tracker'!$M:$M,"Solved",'Problem Tracker'!$I:$I,"◆ NeetCode 150")+COUNTIFS('Problem Tracker'!$M:$M,"Mastered",'Problem Tracker'!$I:$I,"◆ NeetCode 150"))</f>
        <v>0</v>
      </c>
      <c r="G8" s="8" t="n">
        <f aca="false">IF(E8=0,0,F8/E8)</f>
        <v>0</v>
      </c>
    </row>
    <row r="9" customFormat="false" ht="15" hidden="false" customHeight="false" outlineLevel="0" collapsed="false">
      <c r="D9" s="19" t="s">
        <v>15</v>
      </c>
      <c r="E9" s="7" t="n">
        <f aca="false">COUNTIF('Problem Tracker'!$I:$I,"● Must-Know Classic")</f>
        <v>84</v>
      </c>
      <c r="F9" s="7" t="n">
        <f aca="false">(COUNTIFS('Problem Tracker'!$M:$M,"Solved",'Problem Tracker'!$I:$I,"● Must-Know Classic")+COUNTIFS('Problem Tracker'!$M:$M,"Mastered",'Problem Tracker'!$I:$I,"● Must-Know Classic"))</f>
        <v>0</v>
      </c>
      <c r="G9" s="8" t="n">
        <f aca="false">IF(E9=0,0,F9/E9)</f>
        <v>0</v>
      </c>
    </row>
    <row r="10" customFormat="false" ht="15" hidden="false" customHeight="false" outlineLevel="0" collapsed="false">
      <c r="D10" s="20" t="s">
        <v>16</v>
      </c>
      <c r="E10" s="7" t="n">
        <f aca="false">COUNTIF('Problem Tracker'!$J:$J,"P0")+COUNTIF('Problem Tracker'!$J:$J,"P1")</f>
        <v>235</v>
      </c>
      <c r="F10" s="7" t="n">
        <f aca="false">(COUNTIFS('Problem Tracker'!$M:$M,"Solved",'Problem Tracker'!$J:$J,"P0")+COUNTIFS('Problem Tracker'!$M:$M,"Mastered",'Problem Tracker'!$J:$J,"P0"))+(COUNTIFS('Problem Tracker'!$M:$M,"Solved",'Problem Tracker'!$J:$J,"P1")+COUNTIFS('Problem Tracker'!$M:$M,"Mastered",'Problem Tracker'!$J:$J,"P1"))</f>
        <v>1</v>
      </c>
      <c r="G10" s="8" t="n">
        <f aca="false">IF(E10=0,0,F10/E10)</f>
        <v>0.00425531914893617</v>
      </c>
    </row>
    <row r="12" customFormat="false" ht="15" hidden="false" customHeight="false" outlineLevel="0" collapsed="false">
      <c r="A12" s="21" t="s">
        <v>17</v>
      </c>
    </row>
    <row r="13" customFormat="false" ht="15" hidden="false" customHeight="false" outlineLevel="0" collapsed="false">
      <c r="A13" s="3" t="s">
        <v>18</v>
      </c>
      <c r="B13" s="3" t="s">
        <v>19</v>
      </c>
      <c r="C13" s="3" t="s">
        <v>3</v>
      </c>
      <c r="D13" s="3" t="s">
        <v>7</v>
      </c>
      <c r="E13" s="3" t="s">
        <v>9</v>
      </c>
      <c r="F13" s="3" t="s">
        <v>11</v>
      </c>
      <c r="G13" s="3" t="s">
        <v>13</v>
      </c>
      <c r="H13" s="3" t="s">
        <v>4</v>
      </c>
      <c r="I13" s="3" t="s">
        <v>5</v>
      </c>
    </row>
    <row r="14" customFormat="false" ht="15" hidden="false" customHeight="false" outlineLevel="0" collapsed="false">
      <c r="A14" s="22" t="s">
        <v>20</v>
      </c>
      <c r="B14" s="23" t="s">
        <v>21</v>
      </c>
      <c r="C14" s="23" t="n">
        <f aca="false">COUNTIFS('Problem Tracker'!$C:$C,"Hash Map &amp; Set")</f>
        <v>13</v>
      </c>
      <c r="D14" s="24" t="n">
        <f aca="false">COUNTIFS('Problem Tracker'!$C:$C,"Hash Map &amp; Set",'Problem Tracker'!$H:$H,"Easy")</f>
        <v>6</v>
      </c>
      <c r="E14" s="25" t="n">
        <f aca="false">COUNTIFS('Problem Tracker'!$C:$C,"Hash Map &amp; Set",'Problem Tracker'!$H:$H,"Medium")</f>
        <v>7</v>
      </c>
      <c r="F14" s="26" t="n">
        <f aca="false">COUNTIFS('Problem Tracker'!$C:$C,"Hash Map &amp; Set",'Problem Tracker'!$H:$H,"Hard")</f>
        <v>0</v>
      </c>
      <c r="G14" s="27" t="n">
        <f aca="false">COUNTIFS('Problem Tracker'!$C:$C,"Hash Map &amp; Set",'Problem Tracker'!$I:$I,"★ Blind 75")</f>
        <v>3</v>
      </c>
      <c r="H14" s="23" t="n">
        <f aca="false">(COUNTIFS('Problem Tracker'!$M:$M,"Solved",'Problem Tracker'!$C:$C,"Hash Map &amp; Set")+COUNTIFS('Problem Tracker'!$M:$M,"Mastered",'Problem Tracker'!$C:$C,"Hash Map &amp; Set"))</f>
        <v>1</v>
      </c>
      <c r="I14" s="28" t="n">
        <f aca="false">IF(C14=0,0,H14/C14)</f>
        <v>0.0769230769230769</v>
      </c>
    </row>
    <row r="15" customFormat="false" ht="15" hidden="false" customHeight="false" outlineLevel="0" collapsed="false">
      <c r="A15" s="29" t="s">
        <v>22</v>
      </c>
      <c r="B15" s="23" t="s">
        <v>23</v>
      </c>
      <c r="C15" s="23" t="n">
        <f aca="false">COUNTIFS('Problem Tracker'!$C:$C,"Array")</f>
        <v>74</v>
      </c>
      <c r="D15" s="24" t="n">
        <f aca="false">COUNTIFS('Problem Tracker'!$C:$C,"Array",'Problem Tracker'!$H:$H,"Easy")</f>
        <v>15</v>
      </c>
      <c r="E15" s="25" t="n">
        <f aca="false">COUNTIFS('Problem Tracker'!$C:$C,"Array",'Problem Tracker'!$H:$H,"Medium")</f>
        <v>49</v>
      </c>
      <c r="F15" s="26" t="n">
        <f aca="false">COUNTIFS('Problem Tracker'!$C:$C,"Array",'Problem Tracker'!$H:$H,"Hard")</f>
        <v>10</v>
      </c>
      <c r="G15" s="27" t="n">
        <f aca="false">COUNTIFS('Problem Tracker'!$C:$C,"Array",'Problem Tracker'!$I:$I,"★ Blind 75")</f>
        <v>10</v>
      </c>
      <c r="H15" s="23" t="n">
        <f aca="false">(COUNTIFS('Problem Tracker'!$M:$M,"Solved",'Problem Tracker'!$C:$C,"Array")+COUNTIFS('Problem Tracker'!$M:$M,"Mastered",'Problem Tracker'!$C:$C,"Array"))</f>
        <v>0</v>
      </c>
      <c r="I15" s="28" t="n">
        <f aca="false">IF(C15=0,0,H15/C15)</f>
        <v>0</v>
      </c>
    </row>
    <row r="16" customFormat="false" ht="15" hidden="false" customHeight="false" outlineLevel="0" collapsed="false">
      <c r="A16" s="30" t="s">
        <v>24</v>
      </c>
      <c r="B16" s="23" t="s">
        <v>25</v>
      </c>
      <c r="C16" s="23" t="n">
        <f aca="false">COUNTIFS('Problem Tracker'!$C:$C,"String")</f>
        <v>34</v>
      </c>
      <c r="D16" s="24" t="n">
        <f aca="false">COUNTIFS('Problem Tracker'!$C:$C,"String",'Problem Tracker'!$H:$H,"Easy")</f>
        <v>13</v>
      </c>
      <c r="E16" s="25" t="n">
        <f aca="false">COUNTIFS('Problem Tracker'!$C:$C,"String",'Problem Tracker'!$H:$H,"Medium")</f>
        <v>15</v>
      </c>
      <c r="F16" s="26" t="n">
        <f aca="false">COUNTIFS('Problem Tracker'!$C:$C,"String",'Problem Tracker'!$H:$H,"Hard")</f>
        <v>6</v>
      </c>
      <c r="G16" s="27" t="n">
        <f aca="false">COUNTIFS('Problem Tracker'!$C:$C,"String",'Problem Tracker'!$I:$I,"★ Blind 75")</f>
        <v>5</v>
      </c>
      <c r="H16" s="23" t="n">
        <f aca="false">(COUNTIFS('Problem Tracker'!$M:$M,"Solved",'Problem Tracker'!$C:$C,"String")+COUNTIFS('Problem Tracker'!$M:$M,"Mastered",'Problem Tracker'!$C:$C,"String"))</f>
        <v>0</v>
      </c>
      <c r="I16" s="28" t="n">
        <f aca="false">IF(C16=0,0,H16/C16)</f>
        <v>0</v>
      </c>
    </row>
    <row r="17" customFormat="false" ht="15" hidden="false" customHeight="false" outlineLevel="0" collapsed="false">
      <c r="A17" s="31" t="s">
        <v>26</v>
      </c>
      <c r="B17" s="23" t="s">
        <v>25</v>
      </c>
      <c r="C17" s="23" t="n">
        <f aca="false">COUNTIFS('Problem Tracker'!$C:$C,"Matrix (2D Array)")</f>
        <v>8</v>
      </c>
      <c r="D17" s="24" t="n">
        <f aca="false">COUNTIFS('Problem Tracker'!$C:$C,"Matrix (2D Array)",'Problem Tracker'!$H:$H,"Easy")</f>
        <v>2</v>
      </c>
      <c r="E17" s="25" t="n">
        <f aca="false">COUNTIFS('Problem Tracker'!$C:$C,"Matrix (2D Array)",'Problem Tracker'!$H:$H,"Medium")</f>
        <v>6</v>
      </c>
      <c r="F17" s="26" t="n">
        <f aca="false">COUNTIFS('Problem Tracker'!$C:$C,"Matrix (2D Array)",'Problem Tracker'!$H:$H,"Hard")</f>
        <v>0</v>
      </c>
      <c r="G17" s="27" t="n">
        <f aca="false">COUNTIFS('Problem Tracker'!$C:$C,"Matrix (2D Array)",'Problem Tracker'!$I:$I,"★ Blind 75")</f>
        <v>3</v>
      </c>
      <c r="H17" s="23" t="n">
        <f aca="false">(COUNTIFS('Problem Tracker'!$M:$M,"Solved",'Problem Tracker'!$C:$C,"Matrix (2D Array)")+COUNTIFS('Problem Tracker'!$M:$M,"Mastered",'Problem Tracker'!$C:$C,"Matrix (2D Array)"))</f>
        <v>0</v>
      </c>
      <c r="I17" s="28" t="n">
        <f aca="false">IF(C17=0,0,H17/C17)</f>
        <v>0</v>
      </c>
    </row>
    <row r="18" customFormat="false" ht="15" hidden="false" customHeight="false" outlineLevel="0" collapsed="false">
      <c r="A18" s="32" t="s">
        <v>27</v>
      </c>
      <c r="B18" s="23" t="s">
        <v>28</v>
      </c>
      <c r="C18" s="23" t="n">
        <f aca="false">COUNTIFS('Problem Tracker'!$C:$C,"Stack")</f>
        <v>29</v>
      </c>
      <c r="D18" s="24" t="n">
        <f aca="false">COUNTIFS('Problem Tracker'!$C:$C,"Stack",'Problem Tracker'!$H:$H,"Easy")</f>
        <v>5</v>
      </c>
      <c r="E18" s="25" t="n">
        <f aca="false">COUNTIFS('Problem Tracker'!$C:$C,"Stack",'Problem Tracker'!$H:$H,"Medium")</f>
        <v>19</v>
      </c>
      <c r="F18" s="26" t="n">
        <f aca="false">COUNTIFS('Problem Tracker'!$C:$C,"Stack",'Problem Tracker'!$H:$H,"Hard")</f>
        <v>5</v>
      </c>
      <c r="G18" s="27" t="n">
        <f aca="false">COUNTIFS('Problem Tracker'!$C:$C,"Stack",'Problem Tracker'!$I:$I,"★ Blind 75")</f>
        <v>1</v>
      </c>
      <c r="H18" s="23" t="n">
        <f aca="false">(COUNTIFS('Problem Tracker'!$M:$M,"Solved",'Problem Tracker'!$C:$C,"Stack")+COUNTIFS('Problem Tracker'!$M:$M,"Mastered",'Problem Tracker'!$C:$C,"Stack"))</f>
        <v>0</v>
      </c>
      <c r="I18" s="28" t="n">
        <f aca="false">IF(C18=0,0,H18/C18)</f>
        <v>0</v>
      </c>
    </row>
    <row r="19" customFormat="false" ht="15" hidden="false" customHeight="false" outlineLevel="0" collapsed="false">
      <c r="A19" s="33" t="s">
        <v>29</v>
      </c>
      <c r="B19" s="23" t="s">
        <v>28</v>
      </c>
      <c r="C19" s="23" t="n">
        <f aca="false">COUNTIFS('Problem Tracker'!$C:$C,"Queue / Deque")</f>
        <v>5</v>
      </c>
      <c r="D19" s="24" t="n">
        <f aca="false">COUNTIFS('Problem Tracker'!$C:$C,"Queue / Deque",'Problem Tracker'!$H:$H,"Easy")</f>
        <v>1</v>
      </c>
      <c r="E19" s="25" t="n">
        <f aca="false">COUNTIFS('Problem Tracker'!$C:$C,"Queue / Deque",'Problem Tracker'!$H:$H,"Medium")</f>
        <v>4</v>
      </c>
      <c r="F19" s="26" t="n">
        <f aca="false">COUNTIFS('Problem Tracker'!$C:$C,"Queue / Deque",'Problem Tracker'!$H:$H,"Hard")</f>
        <v>0</v>
      </c>
      <c r="G19" s="27" t="n">
        <f aca="false">COUNTIFS('Problem Tracker'!$C:$C,"Queue / Deque",'Problem Tracker'!$I:$I,"★ Blind 75")</f>
        <v>0</v>
      </c>
      <c r="H19" s="23" t="n">
        <f aca="false">(COUNTIFS('Problem Tracker'!$M:$M,"Solved",'Problem Tracker'!$C:$C,"Queue / Deque")+COUNTIFS('Problem Tracker'!$M:$M,"Mastered",'Problem Tracker'!$C:$C,"Queue / Deque"))</f>
        <v>0</v>
      </c>
      <c r="I19" s="28" t="n">
        <f aca="false">IF(C19=0,0,H19/C19)</f>
        <v>0</v>
      </c>
    </row>
    <row r="20" customFormat="false" ht="15" hidden="false" customHeight="false" outlineLevel="0" collapsed="false">
      <c r="A20" s="34" t="s">
        <v>30</v>
      </c>
      <c r="B20" s="23" t="s">
        <v>31</v>
      </c>
      <c r="C20" s="23" t="n">
        <f aca="false">COUNTIFS('Problem Tracker'!$C:$C,"Binary Search")</f>
        <v>28</v>
      </c>
      <c r="D20" s="24" t="n">
        <f aca="false">COUNTIFS('Problem Tracker'!$C:$C,"Binary Search",'Problem Tracker'!$H:$H,"Easy")</f>
        <v>5</v>
      </c>
      <c r="E20" s="25" t="n">
        <f aca="false">COUNTIFS('Problem Tracker'!$C:$C,"Binary Search",'Problem Tracker'!$H:$H,"Medium")</f>
        <v>18</v>
      </c>
      <c r="F20" s="26" t="n">
        <f aca="false">COUNTIFS('Problem Tracker'!$C:$C,"Binary Search",'Problem Tracker'!$H:$H,"Hard")</f>
        <v>5</v>
      </c>
      <c r="G20" s="27" t="n">
        <f aca="false">COUNTIFS('Problem Tracker'!$C:$C,"Binary Search",'Problem Tracker'!$I:$I,"★ Blind 75")</f>
        <v>2</v>
      </c>
      <c r="H20" s="23" t="n">
        <f aca="false">(COUNTIFS('Problem Tracker'!$M:$M,"Solved",'Problem Tracker'!$C:$C,"Binary Search")+COUNTIFS('Problem Tracker'!$M:$M,"Mastered",'Problem Tracker'!$C:$C,"Binary Search"))</f>
        <v>0</v>
      </c>
      <c r="I20" s="28" t="n">
        <f aca="false">IF(C20=0,0,H20/C20)</f>
        <v>0</v>
      </c>
    </row>
    <row r="21" customFormat="false" ht="15" hidden="false" customHeight="false" outlineLevel="0" collapsed="false">
      <c r="A21" s="35" t="s">
        <v>32</v>
      </c>
      <c r="B21" s="23" t="s">
        <v>33</v>
      </c>
      <c r="C21" s="23" t="n">
        <f aca="false">COUNTIFS('Problem Tracker'!$C:$C,"Linked List")</f>
        <v>25</v>
      </c>
      <c r="D21" s="24" t="n">
        <f aca="false">COUNTIFS('Problem Tracker'!$C:$C,"Linked List",'Problem Tracker'!$H:$H,"Easy")</f>
        <v>8</v>
      </c>
      <c r="E21" s="25" t="n">
        <f aca="false">COUNTIFS('Problem Tracker'!$C:$C,"Linked List",'Problem Tracker'!$H:$H,"Medium")</f>
        <v>16</v>
      </c>
      <c r="F21" s="26" t="n">
        <f aca="false">COUNTIFS('Problem Tracker'!$C:$C,"Linked List",'Problem Tracker'!$H:$H,"Hard")</f>
        <v>1</v>
      </c>
      <c r="G21" s="27" t="n">
        <f aca="false">COUNTIFS('Problem Tracker'!$C:$C,"Linked List",'Problem Tracker'!$I:$I,"★ Blind 75")</f>
        <v>5</v>
      </c>
      <c r="H21" s="23" t="n">
        <f aca="false">(COUNTIFS('Problem Tracker'!$M:$M,"Solved",'Problem Tracker'!$C:$C,"Linked List")+COUNTIFS('Problem Tracker'!$M:$M,"Mastered",'Problem Tracker'!$C:$C,"Linked List"))</f>
        <v>0</v>
      </c>
      <c r="I21" s="28" t="n">
        <f aca="false">IF(C21=0,0,H21/C21)</f>
        <v>0</v>
      </c>
    </row>
    <row r="22" customFormat="false" ht="15" hidden="false" customHeight="false" outlineLevel="0" collapsed="false">
      <c r="A22" s="36" t="s">
        <v>34</v>
      </c>
      <c r="B22" s="23" t="s">
        <v>33</v>
      </c>
      <c r="C22" s="23" t="n">
        <f aca="false">COUNTIFS('Problem Tracker'!$C:$C,"Intervals")</f>
        <v>14</v>
      </c>
      <c r="D22" s="24" t="n">
        <f aca="false">COUNTIFS('Problem Tracker'!$C:$C,"Intervals",'Problem Tracker'!$H:$H,"Easy")</f>
        <v>2</v>
      </c>
      <c r="E22" s="25" t="n">
        <f aca="false">COUNTIFS('Problem Tracker'!$C:$C,"Intervals",'Problem Tracker'!$H:$H,"Medium")</f>
        <v>7</v>
      </c>
      <c r="F22" s="26" t="n">
        <f aca="false">COUNTIFS('Problem Tracker'!$C:$C,"Intervals",'Problem Tracker'!$H:$H,"Hard")</f>
        <v>5</v>
      </c>
      <c r="G22" s="27" t="n">
        <f aca="false">COUNTIFS('Problem Tracker'!$C:$C,"Intervals",'Problem Tracker'!$I:$I,"★ Blind 75")</f>
        <v>5</v>
      </c>
      <c r="H22" s="23" t="n">
        <f aca="false">(COUNTIFS('Problem Tracker'!$M:$M,"Solved",'Problem Tracker'!$C:$C,"Intervals")+COUNTIFS('Problem Tracker'!$M:$M,"Mastered",'Problem Tracker'!$C:$C,"Intervals"))</f>
        <v>0</v>
      </c>
      <c r="I22" s="28" t="n">
        <f aca="false">IF(C22=0,0,H22/C22)</f>
        <v>0</v>
      </c>
    </row>
    <row r="23" customFormat="false" ht="15" hidden="false" customHeight="false" outlineLevel="0" collapsed="false">
      <c r="A23" s="37" t="s">
        <v>35</v>
      </c>
      <c r="B23" s="23" t="s">
        <v>36</v>
      </c>
      <c r="C23" s="23" t="n">
        <f aca="false">COUNTIFS('Problem Tracker'!$C:$C,"Trees")</f>
        <v>50</v>
      </c>
      <c r="D23" s="24" t="n">
        <f aca="false">COUNTIFS('Problem Tracker'!$C:$C,"Trees",'Problem Tracker'!$H:$H,"Easy")</f>
        <v>19</v>
      </c>
      <c r="E23" s="25" t="n">
        <f aca="false">COUNTIFS('Problem Tracker'!$C:$C,"Trees",'Problem Tracker'!$H:$H,"Medium")</f>
        <v>28</v>
      </c>
      <c r="F23" s="26" t="n">
        <f aca="false">COUNTIFS('Problem Tracker'!$C:$C,"Trees",'Problem Tracker'!$H:$H,"Hard")</f>
        <v>3</v>
      </c>
      <c r="G23" s="27" t="n">
        <f aca="false">COUNTIFS('Problem Tracker'!$C:$C,"Trees",'Problem Tracker'!$I:$I,"★ Blind 75")</f>
        <v>11</v>
      </c>
      <c r="H23" s="23" t="n">
        <f aca="false">(COUNTIFS('Problem Tracker'!$M:$M,"Solved",'Problem Tracker'!$C:$C,"Trees")+COUNTIFS('Problem Tracker'!$M:$M,"Mastered",'Problem Tracker'!$C:$C,"Trees"))</f>
        <v>0</v>
      </c>
      <c r="I23" s="28" t="n">
        <f aca="false">IF(C23=0,0,H23/C23)</f>
        <v>0</v>
      </c>
    </row>
    <row r="24" customFormat="false" ht="15" hidden="false" customHeight="false" outlineLevel="0" collapsed="false">
      <c r="A24" s="38" t="s">
        <v>37</v>
      </c>
      <c r="B24" s="23" t="s">
        <v>38</v>
      </c>
      <c r="C24" s="23" t="n">
        <f aca="false">COUNTIFS('Problem Tracker'!$C:$C,"Heap / Priority Queue")</f>
        <v>19</v>
      </c>
      <c r="D24" s="24" t="n">
        <f aca="false">COUNTIFS('Problem Tracker'!$C:$C,"Heap / Priority Queue",'Problem Tracker'!$H:$H,"Easy")</f>
        <v>2</v>
      </c>
      <c r="E24" s="25" t="n">
        <f aca="false">COUNTIFS('Problem Tracker'!$C:$C,"Heap / Priority Queue",'Problem Tracker'!$H:$H,"Medium")</f>
        <v>10</v>
      </c>
      <c r="F24" s="26" t="n">
        <f aca="false">COUNTIFS('Problem Tracker'!$C:$C,"Heap / Priority Queue",'Problem Tracker'!$H:$H,"Hard")</f>
        <v>7</v>
      </c>
      <c r="G24" s="27" t="n">
        <f aca="false">COUNTIFS('Problem Tracker'!$C:$C,"Heap / Priority Queue",'Problem Tracker'!$I:$I,"★ Blind 75")</f>
        <v>3</v>
      </c>
      <c r="H24" s="23" t="n">
        <f aca="false">(COUNTIFS('Problem Tracker'!$M:$M,"Solved",'Problem Tracker'!$C:$C,"Heap / Priority Queue")+COUNTIFS('Problem Tracker'!$M:$M,"Mastered",'Problem Tracker'!$C:$C,"Heap / Priority Queue"))</f>
        <v>0</v>
      </c>
      <c r="I24" s="28" t="n">
        <f aca="false">IF(C24=0,0,H24/C24)</f>
        <v>0</v>
      </c>
    </row>
    <row r="25" customFormat="false" ht="15" hidden="false" customHeight="false" outlineLevel="0" collapsed="false">
      <c r="A25" s="39" t="s">
        <v>39</v>
      </c>
      <c r="B25" s="23" t="s">
        <v>40</v>
      </c>
      <c r="C25" s="23" t="n">
        <f aca="false">COUNTIFS('Problem Tracker'!$C:$C,"Recursion &amp; Backtracking")</f>
        <v>27</v>
      </c>
      <c r="D25" s="24" t="n">
        <f aca="false">COUNTIFS('Problem Tracker'!$C:$C,"Recursion &amp; Backtracking",'Problem Tracker'!$H:$H,"Easy")</f>
        <v>1</v>
      </c>
      <c r="E25" s="25" t="n">
        <f aca="false">COUNTIFS('Problem Tracker'!$C:$C,"Recursion &amp; Backtracking",'Problem Tracker'!$H:$H,"Medium")</f>
        <v>20</v>
      </c>
      <c r="F25" s="26" t="n">
        <f aca="false">COUNTIFS('Problem Tracker'!$C:$C,"Recursion &amp; Backtracking",'Problem Tracker'!$H:$H,"Hard")</f>
        <v>6</v>
      </c>
      <c r="G25" s="27" t="n">
        <f aca="false">COUNTIFS('Problem Tracker'!$C:$C,"Recursion &amp; Backtracking",'Problem Tracker'!$I:$I,"★ Blind 75")</f>
        <v>1</v>
      </c>
      <c r="H25" s="23" t="n">
        <f aca="false">(COUNTIFS('Problem Tracker'!$M:$M,"Solved",'Problem Tracker'!$C:$C,"Recursion &amp; Backtracking")+COUNTIFS('Problem Tracker'!$M:$M,"Mastered",'Problem Tracker'!$C:$C,"Recursion &amp; Backtracking"))</f>
        <v>0</v>
      </c>
      <c r="I25" s="28" t="n">
        <f aca="false">IF(C25=0,0,H25/C25)</f>
        <v>0</v>
      </c>
    </row>
    <row r="26" customFormat="false" ht="15" hidden="false" customHeight="false" outlineLevel="0" collapsed="false">
      <c r="A26" s="40" t="s">
        <v>41</v>
      </c>
      <c r="B26" s="23" t="s">
        <v>40</v>
      </c>
      <c r="C26" s="23" t="n">
        <f aca="false">COUNTIFS('Problem Tracker'!$C:$C,"Trie")</f>
        <v>10</v>
      </c>
      <c r="D26" s="24" t="n">
        <f aca="false">COUNTIFS('Problem Tracker'!$C:$C,"Trie",'Problem Tracker'!$H:$H,"Easy")</f>
        <v>0</v>
      </c>
      <c r="E26" s="25" t="n">
        <f aca="false">COUNTIFS('Problem Tracker'!$C:$C,"Trie",'Problem Tracker'!$H:$H,"Medium")</f>
        <v>7</v>
      </c>
      <c r="F26" s="26" t="n">
        <f aca="false">COUNTIFS('Problem Tracker'!$C:$C,"Trie",'Problem Tracker'!$H:$H,"Hard")</f>
        <v>3</v>
      </c>
      <c r="G26" s="27" t="n">
        <f aca="false">COUNTIFS('Problem Tracker'!$C:$C,"Trie",'Problem Tracker'!$I:$I,"★ Blind 75")</f>
        <v>3</v>
      </c>
      <c r="H26" s="23" t="n">
        <f aca="false">(COUNTIFS('Problem Tracker'!$M:$M,"Solved",'Problem Tracker'!$C:$C,"Trie")+COUNTIFS('Problem Tracker'!$M:$M,"Mastered",'Problem Tracker'!$C:$C,"Trie"))</f>
        <v>0</v>
      </c>
      <c r="I26" s="28" t="n">
        <f aca="false">IF(C26=0,0,H26/C26)</f>
        <v>0</v>
      </c>
    </row>
    <row r="27" customFormat="false" ht="15" hidden="false" customHeight="false" outlineLevel="0" collapsed="false">
      <c r="A27" s="41" t="s">
        <v>42</v>
      </c>
      <c r="B27" s="23" t="s">
        <v>43</v>
      </c>
      <c r="C27" s="23" t="n">
        <f aca="false">COUNTIFS('Problem Tracker'!$C:$C,"Graphs")</f>
        <v>57</v>
      </c>
      <c r="D27" s="24" t="n">
        <f aca="false">COUNTIFS('Problem Tracker'!$C:$C,"Graphs",'Problem Tracker'!$H:$H,"Easy")</f>
        <v>4</v>
      </c>
      <c r="E27" s="25" t="n">
        <f aca="false">COUNTIFS('Problem Tracker'!$C:$C,"Graphs",'Problem Tracker'!$H:$H,"Medium")</f>
        <v>43</v>
      </c>
      <c r="F27" s="26" t="n">
        <f aca="false">COUNTIFS('Problem Tracker'!$C:$C,"Graphs",'Problem Tracker'!$H:$H,"Hard")</f>
        <v>10</v>
      </c>
      <c r="G27" s="27" t="n">
        <f aca="false">COUNTIFS('Problem Tracker'!$C:$C,"Graphs",'Problem Tracker'!$I:$I,"★ Blind 75")</f>
        <v>7</v>
      </c>
      <c r="H27" s="23" t="n">
        <f aca="false">(COUNTIFS('Problem Tracker'!$M:$M,"Solved",'Problem Tracker'!$C:$C,"Graphs")+COUNTIFS('Problem Tracker'!$M:$M,"Mastered",'Problem Tracker'!$C:$C,"Graphs"))</f>
        <v>0</v>
      </c>
      <c r="I27" s="28" t="n">
        <f aca="false">IF(C27=0,0,H27/C27)</f>
        <v>0</v>
      </c>
    </row>
    <row r="28" customFormat="false" ht="15" hidden="false" customHeight="false" outlineLevel="0" collapsed="false">
      <c r="A28" s="42" t="s">
        <v>44</v>
      </c>
      <c r="B28" s="23" t="s">
        <v>45</v>
      </c>
      <c r="C28" s="23" t="n">
        <f aca="false">COUNTIFS('Problem Tracker'!$C:$C,"Greedy")</f>
        <v>15</v>
      </c>
      <c r="D28" s="24" t="n">
        <f aca="false">COUNTIFS('Problem Tracker'!$C:$C,"Greedy",'Problem Tracker'!$H:$H,"Easy")</f>
        <v>3</v>
      </c>
      <c r="E28" s="25" t="n">
        <f aca="false">COUNTIFS('Problem Tracker'!$C:$C,"Greedy",'Problem Tracker'!$H:$H,"Medium")</f>
        <v>10</v>
      </c>
      <c r="F28" s="26" t="n">
        <f aca="false">COUNTIFS('Problem Tracker'!$C:$C,"Greedy",'Problem Tracker'!$H:$H,"Hard")</f>
        <v>2</v>
      </c>
      <c r="G28" s="27" t="n">
        <f aca="false">COUNTIFS('Problem Tracker'!$C:$C,"Greedy",'Problem Tracker'!$I:$I,"★ Blind 75")</f>
        <v>1</v>
      </c>
      <c r="H28" s="23" t="n">
        <f aca="false">(COUNTIFS('Problem Tracker'!$M:$M,"Solved",'Problem Tracker'!$C:$C,"Greedy")+COUNTIFS('Problem Tracker'!$M:$M,"Mastered",'Problem Tracker'!$C:$C,"Greedy"))</f>
        <v>0</v>
      </c>
      <c r="I28" s="28" t="n">
        <f aca="false">IF(C28=0,0,H28/C28)</f>
        <v>0</v>
      </c>
    </row>
    <row r="29" customFormat="false" ht="15" hidden="false" customHeight="false" outlineLevel="0" collapsed="false">
      <c r="A29" s="43" t="s">
        <v>46</v>
      </c>
      <c r="B29" s="23" t="s">
        <v>45</v>
      </c>
      <c r="C29" s="23" t="n">
        <f aca="false">COUNTIFS('Problem Tracker'!$C:$C,"Bit Manipulation")</f>
        <v>15</v>
      </c>
      <c r="D29" s="24" t="n">
        <f aca="false">COUNTIFS('Problem Tracker'!$C:$C,"Bit Manipulation",'Problem Tracker'!$H:$H,"Easy")</f>
        <v>7</v>
      </c>
      <c r="E29" s="25" t="n">
        <f aca="false">COUNTIFS('Problem Tracker'!$C:$C,"Bit Manipulation",'Problem Tracker'!$H:$H,"Medium")</f>
        <v>8</v>
      </c>
      <c r="F29" s="26" t="n">
        <f aca="false">COUNTIFS('Problem Tracker'!$C:$C,"Bit Manipulation",'Problem Tracker'!$H:$H,"Hard")</f>
        <v>0</v>
      </c>
      <c r="G29" s="27" t="n">
        <f aca="false">COUNTIFS('Problem Tracker'!$C:$C,"Bit Manipulation",'Problem Tracker'!$I:$I,"★ Blind 75")</f>
        <v>5</v>
      </c>
      <c r="H29" s="23" t="n">
        <f aca="false">(COUNTIFS('Problem Tracker'!$M:$M,"Solved",'Problem Tracker'!$C:$C,"Bit Manipulation")+COUNTIFS('Problem Tracker'!$M:$M,"Mastered",'Problem Tracker'!$C:$C,"Bit Manipulation"))</f>
        <v>0</v>
      </c>
      <c r="I29" s="28" t="n">
        <f aca="false">IF(C29=0,0,H29/C29)</f>
        <v>0</v>
      </c>
    </row>
    <row r="30" customFormat="false" ht="15" hidden="false" customHeight="false" outlineLevel="0" collapsed="false">
      <c r="A30" s="44" t="s">
        <v>47</v>
      </c>
      <c r="B30" s="23" t="s">
        <v>48</v>
      </c>
      <c r="C30" s="23" t="n">
        <f aca="false">COUNTIFS('Problem Tracker'!$C:$C,"Dynamic Programming")</f>
        <v>71</v>
      </c>
      <c r="D30" s="24" t="n">
        <f aca="false">COUNTIFS('Problem Tracker'!$C:$C,"Dynamic Programming",'Problem Tracker'!$H:$H,"Easy")</f>
        <v>3</v>
      </c>
      <c r="E30" s="25" t="n">
        <f aca="false">COUNTIFS('Problem Tracker'!$C:$C,"Dynamic Programming",'Problem Tracker'!$H:$H,"Medium")</f>
        <v>47</v>
      </c>
      <c r="F30" s="26" t="n">
        <f aca="false">COUNTIFS('Problem Tracker'!$C:$C,"Dynamic Programming",'Problem Tracker'!$H:$H,"Hard")</f>
        <v>21</v>
      </c>
      <c r="G30" s="27" t="n">
        <f aca="false">COUNTIFS('Problem Tracker'!$C:$C,"Dynamic Programming",'Problem Tracker'!$I:$I,"★ Blind 75")</f>
        <v>10</v>
      </c>
      <c r="H30" s="23" t="n">
        <f aca="false">(COUNTIFS('Problem Tracker'!$M:$M,"Solved",'Problem Tracker'!$C:$C,"Dynamic Programming")+COUNTIFS('Problem Tracker'!$M:$M,"Mastered",'Problem Tracker'!$C:$C,"Dynamic Programming"))</f>
        <v>0</v>
      </c>
      <c r="I30" s="28" t="n">
        <f aca="false">IF(C30=0,0,H30/C30)</f>
        <v>0</v>
      </c>
    </row>
    <row r="31" customFormat="false" ht="15" hidden="false" customHeight="false" outlineLevel="0" collapsed="false">
      <c r="A31" s="45" t="s">
        <v>49</v>
      </c>
      <c r="B31" s="23" t="s">
        <v>50</v>
      </c>
      <c r="C31" s="23" t="n">
        <f aca="false">COUNTIFS('Problem Tracker'!$C:$C,"Sorting")</f>
        <v>12</v>
      </c>
      <c r="D31" s="24" t="n">
        <f aca="false">COUNTIFS('Problem Tracker'!$C:$C,"Sorting",'Problem Tracker'!$H:$H,"Easy")</f>
        <v>2</v>
      </c>
      <c r="E31" s="25" t="n">
        <f aca="false">COUNTIFS('Problem Tracker'!$C:$C,"Sorting",'Problem Tracker'!$H:$H,"Medium")</f>
        <v>7</v>
      </c>
      <c r="F31" s="26" t="n">
        <f aca="false">COUNTIFS('Problem Tracker'!$C:$C,"Sorting",'Problem Tracker'!$H:$H,"Hard")</f>
        <v>3</v>
      </c>
      <c r="G31" s="27" t="n">
        <f aca="false">COUNTIFS('Problem Tracker'!$C:$C,"Sorting",'Problem Tracker'!$I:$I,"★ Blind 75")</f>
        <v>0</v>
      </c>
      <c r="H31" s="23" t="n">
        <f aca="false">(COUNTIFS('Problem Tracker'!$M:$M,"Solved",'Problem Tracker'!$C:$C,"Sorting")+COUNTIFS('Problem Tracker'!$M:$M,"Mastered",'Problem Tracker'!$C:$C,"Sorting"))</f>
        <v>0</v>
      </c>
      <c r="I31" s="28" t="n">
        <f aca="false">IF(C31=0,0,H31/C31)</f>
        <v>0</v>
      </c>
    </row>
    <row r="32" customFormat="false" ht="15" hidden="false" customHeight="false" outlineLevel="0" collapsed="false">
      <c r="A32" s="46" t="s">
        <v>51</v>
      </c>
      <c r="B32" s="23" t="s">
        <v>50</v>
      </c>
      <c r="C32" s="23" t="n">
        <f aca="false">COUNTIFS('Problem Tracker'!$C:$C,"Math &amp; Geometry")</f>
        <v>13</v>
      </c>
      <c r="D32" s="24" t="n">
        <f aca="false">COUNTIFS('Problem Tracker'!$C:$C,"Math &amp; Geometry",'Problem Tracker'!$H:$H,"Easy")</f>
        <v>4</v>
      </c>
      <c r="E32" s="25" t="n">
        <f aca="false">COUNTIFS('Problem Tracker'!$C:$C,"Math &amp; Geometry",'Problem Tracker'!$H:$H,"Medium")</f>
        <v>8</v>
      </c>
      <c r="F32" s="26" t="n">
        <f aca="false">COUNTIFS('Problem Tracker'!$C:$C,"Math &amp; Geometry",'Problem Tracker'!$H:$H,"Hard")</f>
        <v>1</v>
      </c>
      <c r="G32" s="27" t="n">
        <f aca="false">COUNTIFS('Problem Tracker'!$C:$C,"Math &amp; Geometry",'Problem Tracker'!$I:$I,"★ Blind 75")</f>
        <v>0</v>
      </c>
      <c r="H32" s="23" t="n">
        <f aca="false">(COUNTIFS('Problem Tracker'!$M:$M,"Solved",'Problem Tracker'!$C:$C,"Math &amp; Geometry")+COUNTIFS('Problem Tracker'!$M:$M,"Mastered",'Problem Tracker'!$C:$C,"Math &amp; Geometry"))</f>
        <v>0</v>
      </c>
      <c r="I32" s="28" t="n">
        <f aca="false">IF(C32=0,0,H32/C32)</f>
        <v>0</v>
      </c>
    </row>
    <row r="33" customFormat="false" ht="15" hidden="false" customHeight="false" outlineLevel="0" collapsed="false">
      <c r="A33" s="47" t="s">
        <v>52</v>
      </c>
      <c r="B33" s="23" t="s">
        <v>53</v>
      </c>
      <c r="C33" s="23" t="n">
        <f aca="false">COUNTIFS('Problem Tracker'!$C:$C,"Design")</f>
        <v>14</v>
      </c>
      <c r="D33" s="24" t="n">
        <f aca="false">COUNTIFS('Problem Tracker'!$C:$C,"Design",'Problem Tracker'!$H:$H,"Easy")</f>
        <v>2</v>
      </c>
      <c r="E33" s="25" t="n">
        <f aca="false">COUNTIFS('Problem Tracker'!$C:$C,"Design",'Problem Tracker'!$H:$H,"Medium")</f>
        <v>9</v>
      </c>
      <c r="F33" s="26" t="n">
        <f aca="false">COUNTIFS('Problem Tracker'!$C:$C,"Design",'Problem Tracker'!$H:$H,"Hard")</f>
        <v>3</v>
      </c>
      <c r="G33" s="27" t="n">
        <f aca="false">COUNTIFS('Problem Tracker'!$C:$C,"Design",'Problem Tracker'!$I:$I,"★ Blind 75")</f>
        <v>0</v>
      </c>
      <c r="H33" s="23" t="n">
        <f aca="false">(COUNTIFS('Problem Tracker'!$M:$M,"Solved",'Problem Tracker'!$C:$C,"Design")+COUNTIFS('Problem Tracker'!$M:$M,"Mastered",'Problem Tracker'!$C:$C,"Design"))</f>
        <v>0</v>
      </c>
      <c r="I33" s="28" t="n">
        <f aca="false">IF(C33=0,0,H33/C33)</f>
        <v>0</v>
      </c>
    </row>
    <row r="34" customFormat="false" ht="15" hidden="false" customHeight="false" outlineLevel="0" collapsed="false">
      <c r="A34" s="48" t="s">
        <v>54</v>
      </c>
      <c r="B34" s="23" t="s">
        <v>53</v>
      </c>
      <c r="C34" s="23" t="n">
        <f aca="false">COUNTIFS('Problem Tracker'!$C:$C,"Advanced Data Structures")</f>
        <v>7</v>
      </c>
      <c r="D34" s="24" t="n">
        <f aca="false">COUNTIFS('Problem Tracker'!$C:$C,"Advanced Data Structures",'Problem Tracker'!$H:$H,"Easy")</f>
        <v>0</v>
      </c>
      <c r="E34" s="25" t="n">
        <f aca="false">COUNTIFS('Problem Tracker'!$C:$C,"Advanced Data Structures",'Problem Tracker'!$H:$H,"Medium")</f>
        <v>2</v>
      </c>
      <c r="F34" s="26" t="n">
        <f aca="false">COUNTIFS('Problem Tracker'!$C:$C,"Advanced Data Structures",'Problem Tracker'!$H:$H,"Hard")</f>
        <v>5</v>
      </c>
      <c r="G34" s="27" t="n">
        <f aca="false">COUNTIFS('Problem Tracker'!$C:$C,"Advanced Data Structures",'Problem Tracker'!$I:$I,"★ Blind 75")</f>
        <v>0</v>
      </c>
      <c r="H34" s="23" t="n">
        <f aca="false">(COUNTIFS('Problem Tracker'!$M:$M,"Solved",'Problem Tracker'!$C:$C,"Advanced Data Structures")+COUNTIFS('Problem Tracker'!$M:$M,"Mastered",'Problem Tracker'!$C:$C,"Advanced Data Structures"))</f>
        <v>0</v>
      </c>
      <c r="I34" s="28" t="n">
        <f aca="false">IF(C34=0,0,H34/C34)</f>
        <v>0</v>
      </c>
    </row>
    <row r="35" customFormat="false" ht="15" hidden="false" customHeight="false" outlineLevel="0" collapsed="false">
      <c r="A35" s="3" t="s">
        <v>55</v>
      </c>
      <c r="B35" s="3"/>
      <c r="C35" s="3" t="n">
        <f aca="false">SUM(C14:C34)</f>
        <v>540</v>
      </c>
      <c r="D35" s="3" t="n">
        <f aca="false">SUM(D14:D34)</f>
        <v>104</v>
      </c>
      <c r="E35" s="3" t="n">
        <f aca="false">SUM(E14:E34)</f>
        <v>340</v>
      </c>
      <c r="F35" s="3" t="n">
        <f aca="false">SUM(F14:F34)</f>
        <v>96</v>
      </c>
      <c r="G35" s="3" t="n">
        <f aca="false">SUM(G14:G34)</f>
        <v>75</v>
      </c>
      <c r="H35" s="3" t="n">
        <f aca="false">SUM(H14:H34)</f>
        <v>1</v>
      </c>
      <c r="I35" s="49" t="n">
        <f aca="false">IF(C35=0,0,H35/C35)</f>
        <v>0.00185185185185185</v>
      </c>
    </row>
    <row r="37" customFormat="false" ht="15" hidden="false" customHeight="false" outlineLevel="0" collapsed="false">
      <c r="A37" s="21" t="s">
        <v>56</v>
      </c>
    </row>
    <row r="38" customFormat="false" ht="15" hidden="false" customHeight="true" outlineLevel="0" collapsed="false">
      <c r="A38" s="3" t="s">
        <v>19</v>
      </c>
      <c r="B38" s="50" t="s">
        <v>57</v>
      </c>
      <c r="C38" s="50"/>
      <c r="D38" s="50"/>
      <c r="E38" s="50"/>
      <c r="F38" s="3" t="s">
        <v>58</v>
      </c>
      <c r="G38" s="3" t="s">
        <v>4</v>
      </c>
      <c r="H38" s="3" t="s">
        <v>5</v>
      </c>
    </row>
    <row r="39" customFormat="false" ht="30" hidden="false" customHeight="true" outlineLevel="0" collapsed="false">
      <c r="A39" s="7" t="s">
        <v>21</v>
      </c>
      <c r="B39" s="51" t="s">
        <v>59</v>
      </c>
      <c r="C39" s="51"/>
      <c r="D39" s="51"/>
      <c r="E39" s="51"/>
      <c r="F39" s="23" t="n">
        <f aca="false">COUNTIF('Problem Tracker'!$B:$B,A39)</f>
        <v>13</v>
      </c>
      <c r="G39" s="23" t="n">
        <f aca="false">COUNTIFS('Problem Tracker'!$B:$B,A39,'Problem Tracker'!$M:$M,"Solved")+COUNTIFS('Problem Tracker'!$B:$B,A39,'Problem Tracker'!$M:$M,"Mastered")</f>
        <v>1</v>
      </c>
      <c r="H39" s="28" t="n">
        <f aca="false">IF(F39=0,0,G39/F39)</f>
        <v>0.0769230769230769</v>
      </c>
    </row>
    <row r="40" customFormat="false" ht="30" hidden="false" customHeight="true" outlineLevel="0" collapsed="false">
      <c r="A40" s="7" t="s">
        <v>60</v>
      </c>
      <c r="B40" s="51" t="s">
        <v>61</v>
      </c>
      <c r="C40" s="51"/>
      <c r="D40" s="51"/>
      <c r="E40" s="51"/>
      <c r="F40" s="23" t="n">
        <f aca="false">COUNTIF('Problem Tracker'!$B:$B,A40)</f>
        <v>27</v>
      </c>
      <c r="G40" s="23" t="n">
        <f aca="false">COUNTIFS('Problem Tracker'!$B:$B,A40,'Problem Tracker'!$M:$M,"Solved")+COUNTIFS('Problem Tracker'!$B:$B,A40,'Problem Tracker'!$M:$M,"Mastered")</f>
        <v>0</v>
      </c>
      <c r="H40" s="28" t="n">
        <f aca="false">IF(F40=0,0,G40/F40)</f>
        <v>0</v>
      </c>
    </row>
    <row r="41" customFormat="false" ht="30" hidden="false" customHeight="true" outlineLevel="0" collapsed="false">
      <c r="A41" s="7" t="s">
        <v>25</v>
      </c>
      <c r="B41" s="51" t="s">
        <v>62</v>
      </c>
      <c r="C41" s="51"/>
      <c r="D41" s="51"/>
      <c r="E41" s="51"/>
      <c r="F41" s="23" t="n">
        <f aca="false">COUNTIF('Problem Tracker'!$B:$B,A41)</f>
        <v>89</v>
      </c>
      <c r="G41" s="23" t="n">
        <f aca="false">COUNTIFS('Problem Tracker'!$B:$B,A41,'Problem Tracker'!$M:$M,"Solved")+COUNTIFS('Problem Tracker'!$B:$B,A41,'Problem Tracker'!$M:$M,"Mastered")</f>
        <v>0</v>
      </c>
      <c r="H41" s="28" t="n">
        <f aca="false">IF(F41=0,0,G41/F41)</f>
        <v>0</v>
      </c>
    </row>
    <row r="42" customFormat="false" ht="30" hidden="false" customHeight="true" outlineLevel="0" collapsed="false">
      <c r="A42" s="7" t="s">
        <v>28</v>
      </c>
      <c r="B42" s="51" t="s">
        <v>63</v>
      </c>
      <c r="C42" s="51"/>
      <c r="D42" s="51"/>
      <c r="E42" s="51"/>
      <c r="F42" s="23" t="n">
        <f aca="false">COUNTIF('Problem Tracker'!$B:$B,A42)</f>
        <v>34</v>
      </c>
      <c r="G42" s="23" t="n">
        <f aca="false">COUNTIFS('Problem Tracker'!$B:$B,A42,'Problem Tracker'!$M:$M,"Solved")+COUNTIFS('Problem Tracker'!$B:$B,A42,'Problem Tracker'!$M:$M,"Mastered")</f>
        <v>0</v>
      </c>
      <c r="H42" s="28" t="n">
        <f aca="false">IF(F42=0,0,G42/F42)</f>
        <v>0</v>
      </c>
    </row>
    <row r="43" customFormat="false" ht="30" hidden="false" customHeight="true" outlineLevel="0" collapsed="false">
      <c r="A43" s="7" t="s">
        <v>31</v>
      </c>
      <c r="B43" s="51" t="s">
        <v>64</v>
      </c>
      <c r="C43" s="51"/>
      <c r="D43" s="51"/>
      <c r="E43" s="51"/>
      <c r="F43" s="23" t="n">
        <f aca="false">COUNTIF('Problem Tracker'!$B:$B,A43)</f>
        <v>28</v>
      </c>
      <c r="G43" s="23" t="n">
        <f aca="false">COUNTIFS('Problem Tracker'!$B:$B,A43,'Problem Tracker'!$M:$M,"Solved")+COUNTIFS('Problem Tracker'!$B:$B,A43,'Problem Tracker'!$M:$M,"Mastered")</f>
        <v>0</v>
      </c>
      <c r="H43" s="28" t="n">
        <f aca="false">IF(F43=0,0,G43/F43)</f>
        <v>0</v>
      </c>
    </row>
    <row r="44" customFormat="false" ht="30" hidden="false" customHeight="true" outlineLevel="0" collapsed="false">
      <c r="A44" s="7" t="s">
        <v>33</v>
      </c>
      <c r="B44" s="51" t="s">
        <v>65</v>
      </c>
      <c r="C44" s="51"/>
      <c r="D44" s="51"/>
      <c r="E44" s="51"/>
      <c r="F44" s="23" t="n">
        <f aca="false">COUNTIF('Problem Tracker'!$B:$B,A44)</f>
        <v>39</v>
      </c>
      <c r="G44" s="23" t="n">
        <f aca="false">COUNTIFS('Problem Tracker'!$B:$B,A44,'Problem Tracker'!$M:$M,"Solved")+COUNTIFS('Problem Tracker'!$B:$B,A44,'Problem Tracker'!$M:$M,"Mastered")</f>
        <v>0</v>
      </c>
      <c r="H44" s="28" t="n">
        <f aca="false">IF(F44=0,0,G44/F44)</f>
        <v>0</v>
      </c>
    </row>
    <row r="45" customFormat="false" ht="30" hidden="false" customHeight="true" outlineLevel="0" collapsed="false">
      <c r="A45" s="7" t="s">
        <v>66</v>
      </c>
      <c r="B45" s="51" t="s">
        <v>67</v>
      </c>
      <c r="C45" s="51"/>
      <c r="D45" s="51"/>
      <c r="E45" s="51"/>
      <c r="F45" s="23" t="n">
        <f aca="false">COUNTIF('Problem Tracker'!$B:$B,A45)</f>
        <v>19</v>
      </c>
      <c r="G45" s="23" t="n">
        <f aca="false">COUNTIFS('Problem Tracker'!$B:$B,A45,'Problem Tracker'!$M:$M,"Solved")+COUNTIFS('Problem Tracker'!$B:$B,A45,'Problem Tracker'!$M:$M,"Mastered")</f>
        <v>0</v>
      </c>
      <c r="H45" s="28" t="n">
        <f aca="false">IF(F45=0,0,G45/F45)</f>
        <v>0</v>
      </c>
    </row>
    <row r="46" customFormat="false" ht="30" hidden="false" customHeight="true" outlineLevel="0" collapsed="false">
      <c r="A46" s="7" t="s">
        <v>68</v>
      </c>
      <c r="B46" s="51" t="s">
        <v>69</v>
      </c>
      <c r="C46" s="51"/>
      <c r="D46" s="51"/>
      <c r="E46" s="51"/>
      <c r="F46" s="23" t="n">
        <f aca="false">COUNTIF('Problem Tracker'!$B:$B,A46)</f>
        <v>31</v>
      </c>
      <c r="G46" s="23" t="n">
        <f aca="false">COUNTIFS('Problem Tracker'!$B:$B,A46,'Problem Tracker'!$M:$M,"Solved")+COUNTIFS('Problem Tracker'!$B:$B,A46,'Problem Tracker'!$M:$M,"Mastered")</f>
        <v>0</v>
      </c>
      <c r="H46" s="28" t="n">
        <f aca="false">IF(F46=0,0,G46/F46)</f>
        <v>0</v>
      </c>
    </row>
    <row r="47" customFormat="false" ht="30" hidden="false" customHeight="true" outlineLevel="0" collapsed="false">
      <c r="A47" s="7" t="s">
        <v>38</v>
      </c>
      <c r="B47" s="51" t="s">
        <v>70</v>
      </c>
      <c r="C47" s="51"/>
      <c r="D47" s="51"/>
      <c r="E47" s="51"/>
      <c r="F47" s="23" t="n">
        <f aca="false">COUNTIF('Problem Tracker'!$B:$B,A47)</f>
        <v>19</v>
      </c>
      <c r="G47" s="23" t="n">
        <f aca="false">COUNTIFS('Problem Tracker'!$B:$B,A47,'Problem Tracker'!$M:$M,"Solved")+COUNTIFS('Problem Tracker'!$B:$B,A47,'Problem Tracker'!$M:$M,"Mastered")</f>
        <v>0</v>
      </c>
      <c r="H47" s="28" t="n">
        <f aca="false">IF(F47=0,0,G47/F47)</f>
        <v>0</v>
      </c>
    </row>
    <row r="48" customFormat="false" ht="30" hidden="false" customHeight="true" outlineLevel="0" collapsed="false">
      <c r="A48" s="7" t="s">
        <v>40</v>
      </c>
      <c r="B48" s="51" t="s">
        <v>71</v>
      </c>
      <c r="C48" s="51"/>
      <c r="D48" s="51"/>
      <c r="E48" s="51"/>
      <c r="F48" s="23" t="n">
        <f aca="false">COUNTIF('Problem Tracker'!$B:$B,A48)</f>
        <v>37</v>
      </c>
      <c r="G48" s="23" t="n">
        <f aca="false">COUNTIFS('Problem Tracker'!$B:$B,A48,'Problem Tracker'!$M:$M,"Solved")+COUNTIFS('Problem Tracker'!$B:$B,A48,'Problem Tracker'!$M:$M,"Mastered")</f>
        <v>0</v>
      </c>
      <c r="H48" s="28" t="n">
        <f aca="false">IF(F48=0,0,G48/F48)</f>
        <v>0</v>
      </c>
    </row>
    <row r="49" customFormat="false" ht="30" hidden="false" customHeight="true" outlineLevel="0" collapsed="false">
      <c r="A49" s="7" t="s">
        <v>72</v>
      </c>
      <c r="B49" s="51" t="s">
        <v>73</v>
      </c>
      <c r="C49" s="51"/>
      <c r="D49" s="51"/>
      <c r="E49" s="51"/>
      <c r="F49" s="23" t="n">
        <f aca="false">COUNTIF('Problem Tracker'!$B:$B,A49)</f>
        <v>38</v>
      </c>
      <c r="G49" s="23" t="n">
        <f aca="false">COUNTIFS('Problem Tracker'!$B:$B,A49,'Problem Tracker'!$M:$M,"Solved")+COUNTIFS('Problem Tracker'!$B:$B,A49,'Problem Tracker'!$M:$M,"Mastered")</f>
        <v>0</v>
      </c>
      <c r="H49" s="28" t="n">
        <f aca="false">IF(F49=0,0,G49/F49)</f>
        <v>0</v>
      </c>
    </row>
    <row r="50" customFormat="false" ht="30" hidden="false" customHeight="true" outlineLevel="0" collapsed="false">
      <c r="A50" s="7" t="s">
        <v>74</v>
      </c>
      <c r="B50" s="51" t="s">
        <v>75</v>
      </c>
      <c r="C50" s="51"/>
      <c r="D50" s="51"/>
      <c r="E50" s="51"/>
      <c r="F50" s="23" t="n">
        <f aca="false">COUNTIF('Problem Tracker'!$B:$B,A50)</f>
        <v>19</v>
      </c>
      <c r="G50" s="23" t="n">
        <f aca="false">COUNTIFS('Problem Tracker'!$B:$B,A50,'Problem Tracker'!$M:$M,"Solved")+COUNTIFS('Problem Tracker'!$B:$B,A50,'Problem Tracker'!$M:$M,"Mastered")</f>
        <v>0</v>
      </c>
      <c r="H50" s="28" t="n">
        <f aca="false">IF(F50=0,0,G50/F50)</f>
        <v>0</v>
      </c>
    </row>
    <row r="51" customFormat="false" ht="30" hidden="false" customHeight="true" outlineLevel="0" collapsed="false">
      <c r="A51" s="7" t="s">
        <v>45</v>
      </c>
      <c r="B51" s="51" t="s">
        <v>76</v>
      </c>
      <c r="C51" s="51"/>
      <c r="D51" s="51"/>
      <c r="E51" s="51"/>
      <c r="F51" s="23" t="n">
        <f aca="false">COUNTIF('Problem Tracker'!$B:$B,A51)</f>
        <v>30</v>
      </c>
      <c r="G51" s="23" t="n">
        <f aca="false">COUNTIFS('Problem Tracker'!$B:$B,A51,'Problem Tracker'!$M:$M,"Solved")+COUNTIFS('Problem Tracker'!$B:$B,A51,'Problem Tracker'!$M:$M,"Mastered")</f>
        <v>0</v>
      </c>
      <c r="H51" s="28" t="n">
        <f aca="false">IF(F51=0,0,G51/F51)</f>
        <v>0</v>
      </c>
    </row>
    <row r="52" customFormat="false" ht="30" hidden="false" customHeight="true" outlineLevel="0" collapsed="false">
      <c r="A52" s="7" t="s">
        <v>77</v>
      </c>
      <c r="B52" s="51" t="s">
        <v>78</v>
      </c>
      <c r="C52" s="51"/>
      <c r="D52" s="51"/>
      <c r="E52" s="51"/>
      <c r="F52" s="23" t="n">
        <f aca="false">COUNTIF('Problem Tracker'!$B:$B,A52)</f>
        <v>33</v>
      </c>
      <c r="G52" s="23" t="n">
        <f aca="false">COUNTIFS('Problem Tracker'!$B:$B,A52,'Problem Tracker'!$M:$M,"Solved")+COUNTIFS('Problem Tracker'!$B:$B,A52,'Problem Tracker'!$M:$M,"Mastered")</f>
        <v>0</v>
      </c>
      <c r="H52" s="28" t="n">
        <f aca="false">IF(F52=0,0,G52/F52)</f>
        <v>0</v>
      </c>
    </row>
    <row r="53" customFormat="false" ht="30" hidden="false" customHeight="true" outlineLevel="0" collapsed="false">
      <c r="A53" s="7" t="s">
        <v>79</v>
      </c>
      <c r="B53" s="51" t="s">
        <v>80</v>
      </c>
      <c r="C53" s="51"/>
      <c r="D53" s="51"/>
      <c r="E53" s="51"/>
      <c r="F53" s="23" t="n">
        <f aca="false">COUNTIF('Problem Tracker'!$B:$B,A53)</f>
        <v>22</v>
      </c>
      <c r="G53" s="23" t="n">
        <f aca="false">COUNTIFS('Problem Tracker'!$B:$B,A53,'Problem Tracker'!$M:$M,"Solved")+COUNTIFS('Problem Tracker'!$B:$B,A53,'Problem Tracker'!$M:$M,"Mastered")</f>
        <v>0</v>
      </c>
      <c r="H53" s="28" t="n">
        <f aca="false">IF(F53=0,0,G53/F53)</f>
        <v>0</v>
      </c>
    </row>
    <row r="54" customFormat="false" ht="30" hidden="false" customHeight="true" outlineLevel="0" collapsed="false">
      <c r="A54" s="7" t="s">
        <v>50</v>
      </c>
      <c r="B54" s="51" t="s">
        <v>81</v>
      </c>
      <c r="C54" s="51"/>
      <c r="D54" s="51"/>
      <c r="E54" s="51"/>
      <c r="F54" s="23" t="n">
        <f aca="false">COUNTIF('Problem Tracker'!$B:$B,A54)</f>
        <v>41</v>
      </c>
      <c r="G54" s="23" t="n">
        <f aca="false">COUNTIFS('Problem Tracker'!$B:$B,A54,'Problem Tracker'!$M:$M,"Solved")+COUNTIFS('Problem Tracker'!$B:$B,A54,'Problem Tracker'!$M:$M,"Mastered")</f>
        <v>0</v>
      </c>
      <c r="H54" s="28" t="n">
        <f aca="false">IF(F54=0,0,G54/F54)</f>
        <v>0</v>
      </c>
    </row>
    <row r="55" customFormat="false" ht="30" hidden="false" customHeight="true" outlineLevel="0" collapsed="false">
      <c r="A55" s="7" t="s">
        <v>53</v>
      </c>
      <c r="B55" s="51" t="s">
        <v>82</v>
      </c>
      <c r="C55" s="51"/>
      <c r="D55" s="51"/>
      <c r="E55" s="51"/>
      <c r="F55" s="23" t="n">
        <f aca="false">COUNTIF('Problem Tracker'!$B:$B,A55)</f>
        <v>21</v>
      </c>
      <c r="G55" s="23" t="n">
        <f aca="false">COUNTIFS('Problem Tracker'!$B:$B,A55,'Problem Tracker'!$M:$M,"Solved")+COUNTIFS('Problem Tracker'!$B:$B,A55,'Problem Tracker'!$M:$M,"Mastered")</f>
        <v>0</v>
      </c>
      <c r="H55" s="28" t="n">
        <f aca="false">IF(F55=0,0,G55/F55)</f>
        <v>0</v>
      </c>
    </row>
  </sheetData>
  <mergeCells count="20">
    <mergeCell ref="A1:I1"/>
    <mergeCell ref="A2:I2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</mergeCells>
  <conditionalFormatting sqref="B6">
    <cfRule type="dataBar" priority="2">
      <dataBar showValue="1" minLength="10" maxLength="90"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{32C0ED41-70DE-44B5-B9F2-E6BF38CCDA1B}</x14:id>
        </ext>
      </extLst>
    </cfRule>
  </conditionalFormatting>
  <conditionalFormatting sqref="G4:G10">
    <cfRule type="dataBar" priority="3">
      <dataBar showValue="1" minLength="10" maxLength="90"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{2B3CA2B5-9AFC-4F80-9BDA-50398C61D2FA}</x14:id>
        </ext>
      </extLst>
    </cfRule>
  </conditionalFormatting>
  <conditionalFormatting sqref="I14:I34">
    <cfRule type="dataBar" priority="4">
      <dataBar showValue="1" minLength="10" maxLength="90"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{A05AA1F0-C929-4DFE-ABC5-4EB1593186B1}</x14:id>
        </ext>
      </extLst>
    </cfRule>
  </conditionalFormatting>
  <conditionalFormatting sqref="H39:H55">
    <cfRule type="dataBar" priority="5">
      <dataBar showValue="1" minLength="10" maxLength="90"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{50576AE3-DAF3-49FB-B05C-5917A0FCD0B6}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C0ED41-70DE-44B5-B9F2-E6BF38CCDA1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B82F6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2B3CA2B5-9AFC-4F80-9BDA-50398C61D2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2C55E"/>
              <x14:axisColor rgb="FF000000"/>
            </x14:dataBar>
          </x14:cfRule>
          <xm:sqref>G4:G10</xm:sqref>
        </x14:conditionalFormatting>
        <x14:conditionalFormatting xmlns:xm="http://schemas.microsoft.com/office/excel/2006/main">
          <x14:cfRule type="dataBar" id="{A05AA1F0-C929-4DFE-ABC5-4EB1593186B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2C55E"/>
              <x14:axisColor rgb="FF000000"/>
            </x14:dataBar>
          </x14:cfRule>
          <xm:sqref>I14:I34</xm:sqref>
        </x14:conditionalFormatting>
        <x14:conditionalFormatting xmlns:xm="http://schemas.microsoft.com/office/excel/2006/main">
          <x14:cfRule type="dataBar" id="{50576AE3-DAF3-49FB-B05C-5917A0FCD0B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2C55E"/>
              <x14:axisColor rgb="FF000000"/>
            </x14:dataBar>
          </x14:cfRule>
          <xm:sqref>H39:H55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"/>
  </cols>
  <sheetData>
    <row r="1" customFormat="false" ht="30" hidden="false" customHeight="true" outlineLevel="0" collapsed="false">
      <c r="A1" s="52" t="s">
        <v>18</v>
      </c>
      <c r="B1" s="52" t="s">
        <v>83</v>
      </c>
      <c r="C1" s="52" t="s">
        <v>84</v>
      </c>
      <c r="D1" s="52" t="s">
        <v>85</v>
      </c>
      <c r="E1" s="52" t="s">
        <v>86</v>
      </c>
      <c r="F1" s="52" t="s">
        <v>87</v>
      </c>
      <c r="G1" s="52" t="s">
        <v>88</v>
      </c>
      <c r="H1" s="52" t="s">
        <v>19</v>
      </c>
      <c r="I1" s="52" t="s">
        <v>58</v>
      </c>
      <c r="J1" s="52" t="s">
        <v>7</v>
      </c>
      <c r="K1" s="52" t="s">
        <v>9</v>
      </c>
      <c r="L1" s="52" t="s">
        <v>11</v>
      </c>
      <c r="M1" s="52" t="s">
        <v>4</v>
      </c>
      <c r="N1" s="52" t="s">
        <v>5</v>
      </c>
    </row>
    <row r="2" customFormat="false" ht="26.85" hidden="false" customHeight="false" outlineLevel="0" collapsed="false">
      <c r="A2" s="53" t="s">
        <v>89</v>
      </c>
      <c r="B2" s="54"/>
      <c r="C2" s="54"/>
      <c r="D2" s="54"/>
      <c r="E2" s="54"/>
      <c r="F2" s="54"/>
      <c r="G2" s="54"/>
      <c r="H2" s="54"/>
      <c r="I2" s="54" t="n">
        <f aca="false">COUNTIF('Problem Tracker'!$C:$C,"Hash Map &amp; Set")</f>
        <v>13</v>
      </c>
      <c r="J2" s="54"/>
      <c r="K2" s="54"/>
      <c r="L2" s="54"/>
      <c r="M2" s="54" t="n">
        <f aca="false">COUNTIFS('Problem Tracker'!$C:$C,"Hash Map &amp; Set",'Problem Tracker'!$M:$M,"Solved")+COUNTIFS('Problem Tracker'!$C:$C,"Hash Map &amp; Set",'Problem Tracker'!$M:$M,"Mastered")</f>
        <v>1</v>
      </c>
      <c r="N2" s="55" t="n">
        <f aca="false">IF(I2=0,0,M2/I2)</f>
        <v>0.0769230769230769</v>
      </c>
    </row>
    <row r="3" customFormat="false" ht="15" hidden="false" customHeight="false" outlineLevel="0" collapsed="false">
      <c r="A3" s="56" t="s">
        <v>20</v>
      </c>
      <c r="B3" s="22" t="s">
        <v>90</v>
      </c>
      <c r="C3" s="57" t="s">
        <v>91</v>
      </c>
      <c r="D3" s="58" t="s">
        <v>92</v>
      </c>
      <c r="E3" s="51" t="s">
        <v>93</v>
      </c>
      <c r="F3" s="51" t="s">
        <v>94</v>
      </c>
      <c r="G3" s="23" t="s">
        <v>95</v>
      </c>
      <c r="H3" s="23" t="s">
        <v>21</v>
      </c>
      <c r="I3" s="23" t="n">
        <f aca="false">COUNTIFS('Problem Tracker'!$C:$C,"Hash Map &amp; Set",'Problem Tracker'!$D:$D,"Hashing Fundamentals",'Problem Tracker'!$E:$E,"Complement Lookup")</f>
        <v>3</v>
      </c>
      <c r="J3" s="24" t="n">
        <f aca="false">COUNTIFS('Problem Tracker'!$C:$C,"Hash Map &amp; Set",'Problem Tracker'!$D:$D,"Hashing Fundamentals",'Problem Tracker'!$E:$E,"Complement Lookup",'Problem Tracker'!$H:$H,"Easy")</f>
        <v>1</v>
      </c>
      <c r="K3" s="25" t="n">
        <f aca="false">COUNTIFS('Problem Tracker'!$C:$C,"Hash Map &amp; Set",'Problem Tracker'!$D:$D,"Hashing Fundamentals",'Problem Tracker'!$E:$E,"Complement Lookup",'Problem Tracker'!$H:$H,"Medium")</f>
        <v>2</v>
      </c>
      <c r="L3" s="26" t="n">
        <f aca="false">COUNTIFS('Problem Tracker'!$C:$C,"Hash Map &amp; Set",'Problem Tracker'!$D:$D,"Hashing Fundamentals",'Problem Tracker'!$E:$E,"Complement Lookup",'Problem Tracker'!$H:$H,"Hard")</f>
        <v>0</v>
      </c>
      <c r="M3" s="23" t="n">
        <f aca="false">COUNTIFS('Problem Tracker'!$C:$C,"Hash Map &amp; Set",'Problem Tracker'!$D:$D,"Hashing Fundamentals",'Problem Tracker'!$E:$E,"Complement Lookup",'Problem Tracker'!$M:$M,"Solved")+COUNTIFS('Problem Tracker'!$C:$C,"Hash Map &amp; Set",'Problem Tracker'!$D:$D,"Hashing Fundamentals",'Problem Tracker'!$E:$E,"Complement Lookup",'Problem Tracker'!$M:$M,"Mastered")</f>
        <v>1</v>
      </c>
      <c r="N3" s="28" t="n">
        <f aca="false">IF(I3=0,0,M3/I3)</f>
        <v>0.333333333333333</v>
      </c>
    </row>
    <row r="4" customFormat="false" ht="15" hidden="false" customHeight="false" outlineLevel="0" collapsed="false">
      <c r="A4" s="56" t="s">
        <v>20</v>
      </c>
      <c r="B4" s="22" t="s">
        <v>90</v>
      </c>
      <c r="C4" s="57" t="s">
        <v>96</v>
      </c>
      <c r="D4" s="58" t="s">
        <v>92</v>
      </c>
      <c r="E4" s="51" t="s">
        <v>97</v>
      </c>
      <c r="F4" s="51" t="s">
        <v>98</v>
      </c>
      <c r="G4" s="23" t="s">
        <v>99</v>
      </c>
      <c r="H4" s="23" t="s">
        <v>21</v>
      </c>
      <c r="I4" s="23" t="n">
        <f aca="false">COUNTIFS('Problem Tracker'!$C:$C,"Hash Map &amp; Set",'Problem Tracker'!$D:$D,"Hashing Fundamentals",'Problem Tracker'!$E:$E,"Frequency Counting")</f>
        <v>4</v>
      </c>
      <c r="J4" s="24" t="n">
        <f aca="false">COUNTIFS('Problem Tracker'!$C:$C,"Hash Map &amp; Set",'Problem Tracker'!$D:$D,"Hashing Fundamentals",'Problem Tracker'!$E:$E,"Frequency Counting",'Problem Tracker'!$H:$H,"Easy")</f>
        <v>3</v>
      </c>
      <c r="K4" s="25" t="n">
        <f aca="false">COUNTIFS('Problem Tracker'!$C:$C,"Hash Map &amp; Set",'Problem Tracker'!$D:$D,"Hashing Fundamentals",'Problem Tracker'!$E:$E,"Frequency Counting",'Problem Tracker'!$H:$H,"Medium")</f>
        <v>1</v>
      </c>
      <c r="L4" s="26" t="n">
        <f aca="false">COUNTIFS('Problem Tracker'!$C:$C,"Hash Map &amp; Set",'Problem Tracker'!$D:$D,"Hashing Fundamentals",'Problem Tracker'!$E:$E,"Frequency Counting",'Problem Tracker'!$H:$H,"Hard")</f>
        <v>0</v>
      </c>
      <c r="M4" s="23" t="n">
        <f aca="false">COUNTIFS('Problem Tracker'!$C:$C,"Hash Map &amp; Set",'Problem Tracker'!$D:$D,"Hashing Fundamentals",'Problem Tracker'!$E:$E,"Frequency Counting",'Problem Tracker'!$M:$M,"Solved")+COUNTIFS('Problem Tracker'!$C:$C,"Hash Map &amp; Set",'Problem Tracker'!$D:$D,"Hashing Fundamentals",'Problem Tracker'!$E:$E,"Frequency Counting",'Problem Tracker'!$M:$M,"Mastered")</f>
        <v>0</v>
      </c>
      <c r="N4" s="28" t="n">
        <f aca="false">IF(I4=0,0,M4/I4)</f>
        <v>0</v>
      </c>
    </row>
    <row r="5" customFormat="false" ht="23.85" hidden="false" customHeight="false" outlineLevel="0" collapsed="false">
      <c r="A5" s="56" t="s">
        <v>20</v>
      </c>
      <c r="B5" s="22" t="s">
        <v>90</v>
      </c>
      <c r="C5" s="57" t="s">
        <v>100</v>
      </c>
      <c r="D5" s="59" t="s">
        <v>101</v>
      </c>
      <c r="E5" s="51" t="s">
        <v>102</v>
      </c>
      <c r="F5" s="51" t="s">
        <v>103</v>
      </c>
      <c r="G5" s="23" t="s">
        <v>104</v>
      </c>
      <c r="H5" s="23" t="s">
        <v>21</v>
      </c>
      <c r="I5" s="23" t="n">
        <f aca="false">COUNTIFS('Problem Tracker'!$C:$C,"Hash Map &amp; Set",'Problem Tracker'!$D:$D,"Hashing Fundamentals",'Problem Tracker'!$E:$E,"Grouping by Canonical Key")</f>
        <v>3</v>
      </c>
      <c r="J5" s="24" t="n">
        <f aca="false">COUNTIFS('Problem Tracker'!$C:$C,"Hash Map &amp; Set",'Problem Tracker'!$D:$D,"Hashing Fundamentals",'Problem Tracker'!$E:$E,"Grouping by Canonical Key",'Problem Tracker'!$H:$H,"Easy")</f>
        <v>0</v>
      </c>
      <c r="K5" s="25" t="n">
        <f aca="false">COUNTIFS('Problem Tracker'!$C:$C,"Hash Map &amp; Set",'Problem Tracker'!$D:$D,"Hashing Fundamentals",'Problem Tracker'!$E:$E,"Grouping by Canonical Key",'Problem Tracker'!$H:$H,"Medium")</f>
        <v>3</v>
      </c>
      <c r="L5" s="26" t="n">
        <f aca="false">COUNTIFS('Problem Tracker'!$C:$C,"Hash Map &amp; Set",'Problem Tracker'!$D:$D,"Hashing Fundamentals",'Problem Tracker'!$E:$E,"Grouping by Canonical Key",'Problem Tracker'!$H:$H,"Hard")</f>
        <v>0</v>
      </c>
      <c r="M5" s="23" t="n">
        <f aca="false">COUNTIFS('Problem Tracker'!$C:$C,"Hash Map &amp; Set",'Problem Tracker'!$D:$D,"Hashing Fundamentals",'Problem Tracker'!$E:$E,"Grouping by Canonical Key",'Problem Tracker'!$M:$M,"Solved")+COUNTIFS('Problem Tracker'!$C:$C,"Hash Map &amp; Set",'Problem Tracker'!$D:$D,"Hashing Fundamentals",'Problem Tracker'!$E:$E,"Grouping by Canonical Key",'Problem Tracker'!$M:$M,"Mastered")</f>
        <v>0</v>
      </c>
      <c r="N5" s="28" t="n">
        <f aca="false">IF(I5=0,0,M5/I5)</f>
        <v>0</v>
      </c>
    </row>
    <row r="6" customFormat="false" ht="23.85" hidden="false" customHeight="false" outlineLevel="0" collapsed="false">
      <c r="A6" s="56" t="s">
        <v>20</v>
      </c>
      <c r="B6" s="22" t="s">
        <v>90</v>
      </c>
      <c r="C6" s="57" t="s">
        <v>105</v>
      </c>
      <c r="D6" s="58" t="s">
        <v>92</v>
      </c>
      <c r="E6" s="51" t="s">
        <v>106</v>
      </c>
      <c r="F6" s="51" t="s">
        <v>107</v>
      </c>
      <c r="G6" s="23" t="s">
        <v>99</v>
      </c>
      <c r="H6" s="23" t="s">
        <v>21</v>
      </c>
      <c r="I6" s="23" t="n">
        <f aca="false">COUNTIFS('Problem Tracker'!$C:$C,"Hash Map &amp; Set",'Problem Tracker'!$D:$D,"Hashing Fundamentals",'Problem Tracker'!$E:$E,"Set Existence / Sequence Building")</f>
        <v>3</v>
      </c>
      <c r="J6" s="24" t="n">
        <f aca="false">COUNTIFS('Problem Tracker'!$C:$C,"Hash Map &amp; Set",'Problem Tracker'!$D:$D,"Hashing Fundamentals",'Problem Tracker'!$E:$E,"Set Existence / Sequence Building",'Problem Tracker'!$H:$H,"Easy")</f>
        <v>2</v>
      </c>
      <c r="K6" s="25" t="n">
        <f aca="false">COUNTIFS('Problem Tracker'!$C:$C,"Hash Map &amp; Set",'Problem Tracker'!$D:$D,"Hashing Fundamentals",'Problem Tracker'!$E:$E,"Set Existence / Sequence Building",'Problem Tracker'!$H:$H,"Medium")</f>
        <v>1</v>
      </c>
      <c r="L6" s="26" t="n">
        <f aca="false">COUNTIFS('Problem Tracker'!$C:$C,"Hash Map &amp; Set",'Problem Tracker'!$D:$D,"Hashing Fundamentals",'Problem Tracker'!$E:$E,"Set Existence / Sequence Building",'Problem Tracker'!$H:$H,"Hard")</f>
        <v>0</v>
      </c>
      <c r="M6" s="23" t="n">
        <f aca="false">COUNTIFS('Problem Tracker'!$C:$C,"Hash Map &amp; Set",'Problem Tracker'!$D:$D,"Hashing Fundamentals",'Problem Tracker'!$E:$E,"Set Existence / Sequence Building",'Problem Tracker'!$M:$M,"Solved")+COUNTIFS('Problem Tracker'!$C:$C,"Hash Map &amp; Set",'Problem Tracker'!$D:$D,"Hashing Fundamentals",'Problem Tracker'!$E:$E,"Set Existence / Sequence Building",'Problem Tracker'!$M:$M,"Mastered")</f>
        <v>0</v>
      </c>
      <c r="N6" s="28" t="n">
        <f aca="false">IF(I6=0,0,M6/I6)</f>
        <v>0</v>
      </c>
    </row>
    <row r="7" customFormat="false" ht="15" hidden="false" customHeight="false" outlineLevel="0" collapsed="false">
      <c r="A7" s="60" t="s">
        <v>108</v>
      </c>
      <c r="B7" s="61"/>
      <c r="C7" s="61"/>
      <c r="D7" s="61"/>
      <c r="E7" s="61"/>
      <c r="F7" s="61"/>
      <c r="G7" s="61"/>
      <c r="H7" s="61"/>
      <c r="I7" s="61" t="n">
        <f aca="false">COUNTIF('Problem Tracker'!$C:$C,"Array")</f>
        <v>74</v>
      </c>
      <c r="J7" s="61"/>
      <c r="K7" s="61"/>
      <c r="L7" s="61"/>
      <c r="M7" s="61" t="n">
        <f aca="false">COUNTIFS('Problem Tracker'!$C:$C,"Array",'Problem Tracker'!$M:$M,"Solved")+COUNTIFS('Problem Tracker'!$C:$C,"Array",'Problem Tracker'!$M:$M,"Mastered")</f>
        <v>0</v>
      </c>
      <c r="N7" s="62" t="n">
        <f aca="false">IF(I7=0,0,M7/I7)</f>
        <v>0</v>
      </c>
    </row>
    <row r="8" customFormat="false" ht="23.85" hidden="false" customHeight="false" outlineLevel="0" collapsed="false">
      <c r="A8" s="63" t="s">
        <v>22</v>
      </c>
      <c r="B8" s="29" t="s">
        <v>109</v>
      </c>
      <c r="C8" s="64" t="s">
        <v>110</v>
      </c>
      <c r="D8" s="58" t="s">
        <v>92</v>
      </c>
      <c r="E8" s="51" t="s">
        <v>111</v>
      </c>
      <c r="F8" s="51" t="s">
        <v>112</v>
      </c>
      <c r="G8" s="23" t="s">
        <v>99</v>
      </c>
      <c r="H8" s="23" t="s">
        <v>60</v>
      </c>
      <c r="I8" s="23" t="n">
        <f aca="false">COUNTIFS('Problem Tracker'!$C:$C,"Array",'Problem Tracker'!$D:$D,"Two Pointers",'Problem Tracker'!$E:$E,"Opposite Ends (Converging)")</f>
        <v>6</v>
      </c>
      <c r="J8" s="24" t="n">
        <f aca="false">COUNTIFS('Problem Tracker'!$C:$C,"Array",'Problem Tracker'!$D:$D,"Two Pointers",'Problem Tracker'!$E:$E,"Opposite Ends (Converging)",'Problem Tracker'!$H:$H,"Easy")</f>
        <v>2</v>
      </c>
      <c r="K8" s="25" t="n">
        <f aca="false">COUNTIFS('Problem Tracker'!$C:$C,"Array",'Problem Tracker'!$D:$D,"Two Pointers",'Problem Tracker'!$E:$E,"Opposite Ends (Converging)",'Problem Tracker'!$H:$H,"Medium")</f>
        <v>3</v>
      </c>
      <c r="L8" s="26" t="n">
        <f aca="false">COUNTIFS('Problem Tracker'!$C:$C,"Array",'Problem Tracker'!$D:$D,"Two Pointers",'Problem Tracker'!$E:$E,"Opposite Ends (Converging)",'Problem Tracker'!$H:$H,"Hard")</f>
        <v>1</v>
      </c>
      <c r="M8" s="23" t="n">
        <f aca="false">COUNTIFS('Problem Tracker'!$C:$C,"Array",'Problem Tracker'!$D:$D,"Two Pointers",'Problem Tracker'!$E:$E,"Opposite Ends (Converging)",'Problem Tracker'!$M:$M,"Solved")+COUNTIFS('Problem Tracker'!$C:$C,"Array",'Problem Tracker'!$D:$D,"Two Pointers",'Problem Tracker'!$E:$E,"Opposite Ends (Converging)",'Problem Tracker'!$M:$M,"Mastered")</f>
        <v>0</v>
      </c>
      <c r="N8" s="28" t="n">
        <f aca="false">IF(I8=0,0,M8/I8)</f>
        <v>0</v>
      </c>
    </row>
    <row r="9" customFormat="false" ht="15" hidden="false" customHeight="false" outlineLevel="0" collapsed="false">
      <c r="A9" s="63" t="s">
        <v>22</v>
      </c>
      <c r="B9" s="29" t="s">
        <v>109</v>
      </c>
      <c r="C9" s="64" t="s">
        <v>113</v>
      </c>
      <c r="D9" s="58" t="s">
        <v>92</v>
      </c>
      <c r="E9" s="51" t="s">
        <v>114</v>
      </c>
      <c r="F9" s="51" t="s">
        <v>115</v>
      </c>
      <c r="G9" s="23" t="s">
        <v>116</v>
      </c>
      <c r="H9" s="23" t="s">
        <v>60</v>
      </c>
      <c r="I9" s="23" t="n">
        <f aca="false">COUNTIFS('Problem Tracker'!$C:$C,"Array",'Problem Tracker'!$D:$D,"Two Pointers",'Problem Tracker'!$E:$E,"Same Direction (Read / Write)")</f>
        <v>6</v>
      </c>
      <c r="J9" s="24" t="n">
        <f aca="false">COUNTIFS('Problem Tracker'!$C:$C,"Array",'Problem Tracker'!$D:$D,"Two Pointers",'Problem Tracker'!$E:$E,"Same Direction (Read / Write)",'Problem Tracker'!$H:$H,"Easy")</f>
        <v>5</v>
      </c>
      <c r="K9" s="25" t="n">
        <f aca="false">COUNTIFS('Problem Tracker'!$C:$C,"Array",'Problem Tracker'!$D:$D,"Two Pointers",'Problem Tracker'!$E:$E,"Same Direction (Read / Write)",'Problem Tracker'!$H:$H,"Medium")</f>
        <v>1</v>
      </c>
      <c r="L9" s="26" t="n">
        <f aca="false">COUNTIFS('Problem Tracker'!$C:$C,"Array",'Problem Tracker'!$D:$D,"Two Pointers",'Problem Tracker'!$E:$E,"Same Direction (Read / Write)",'Problem Tracker'!$H:$H,"Hard")</f>
        <v>0</v>
      </c>
      <c r="M9" s="23" t="n">
        <f aca="false">COUNTIFS('Problem Tracker'!$C:$C,"Array",'Problem Tracker'!$D:$D,"Two Pointers",'Problem Tracker'!$E:$E,"Same Direction (Read / Write)",'Problem Tracker'!$M:$M,"Solved")+COUNTIFS('Problem Tracker'!$C:$C,"Array",'Problem Tracker'!$D:$D,"Two Pointers",'Problem Tracker'!$E:$E,"Same Direction (Read / Write)",'Problem Tracker'!$M:$M,"Mastered")</f>
        <v>0</v>
      </c>
      <c r="N9" s="28" t="n">
        <f aca="false">IF(I9=0,0,M9/I9)</f>
        <v>0</v>
      </c>
    </row>
    <row r="10" customFormat="false" ht="15" hidden="false" customHeight="false" outlineLevel="0" collapsed="false">
      <c r="A10" s="63" t="s">
        <v>22</v>
      </c>
      <c r="B10" s="29" t="s">
        <v>109</v>
      </c>
      <c r="C10" s="64" t="s">
        <v>117</v>
      </c>
      <c r="D10" s="58" t="s">
        <v>92</v>
      </c>
      <c r="E10" s="51" t="s">
        <v>118</v>
      </c>
      <c r="F10" s="51" t="s">
        <v>119</v>
      </c>
      <c r="G10" s="23" t="s">
        <v>120</v>
      </c>
      <c r="H10" s="23" t="s">
        <v>60</v>
      </c>
      <c r="I10" s="23" t="n">
        <f aca="false">COUNTIFS('Problem Tracker'!$C:$C,"Array",'Problem Tracker'!$D:$D,"Two Pointers",'Problem Tracker'!$E:$E,"k-Sum (3Sum / 4Sum)")</f>
        <v>4</v>
      </c>
      <c r="J10" s="24" t="n">
        <f aca="false">COUNTIFS('Problem Tracker'!$C:$C,"Array",'Problem Tracker'!$D:$D,"Two Pointers",'Problem Tracker'!$E:$E,"k-Sum (3Sum / 4Sum)",'Problem Tracker'!$H:$H,"Easy")</f>
        <v>0</v>
      </c>
      <c r="K10" s="25" t="n">
        <f aca="false">COUNTIFS('Problem Tracker'!$C:$C,"Array",'Problem Tracker'!$D:$D,"Two Pointers",'Problem Tracker'!$E:$E,"k-Sum (3Sum / 4Sum)",'Problem Tracker'!$H:$H,"Medium")</f>
        <v>4</v>
      </c>
      <c r="L10" s="26" t="n">
        <f aca="false">COUNTIFS('Problem Tracker'!$C:$C,"Array",'Problem Tracker'!$D:$D,"Two Pointers",'Problem Tracker'!$E:$E,"k-Sum (3Sum / 4Sum)",'Problem Tracker'!$H:$H,"Hard")</f>
        <v>0</v>
      </c>
      <c r="M10" s="23" t="n">
        <f aca="false">COUNTIFS('Problem Tracker'!$C:$C,"Array",'Problem Tracker'!$D:$D,"Two Pointers",'Problem Tracker'!$E:$E,"k-Sum (3Sum / 4Sum)",'Problem Tracker'!$M:$M,"Solved")+COUNTIFS('Problem Tracker'!$C:$C,"Array",'Problem Tracker'!$D:$D,"Two Pointers",'Problem Tracker'!$E:$E,"k-Sum (3Sum / 4Sum)",'Problem Tracker'!$M:$M,"Mastered")</f>
        <v>0</v>
      </c>
      <c r="N10" s="28" t="n">
        <f aca="false">IF(I10=0,0,M10/I10)</f>
        <v>0</v>
      </c>
    </row>
    <row r="11" customFormat="false" ht="15" hidden="false" customHeight="false" outlineLevel="0" collapsed="false">
      <c r="A11" s="63" t="s">
        <v>22</v>
      </c>
      <c r="B11" s="29" t="s">
        <v>109</v>
      </c>
      <c r="C11" s="64" t="s">
        <v>121</v>
      </c>
      <c r="D11" s="59" t="s">
        <v>101</v>
      </c>
      <c r="E11" s="51" t="s">
        <v>122</v>
      </c>
      <c r="F11" s="51" t="s">
        <v>123</v>
      </c>
      <c r="G11" s="23" t="s">
        <v>124</v>
      </c>
      <c r="H11" s="23" t="s">
        <v>60</v>
      </c>
      <c r="I11" s="23" t="n">
        <f aca="false">COUNTIFS('Problem Tracker'!$C:$C,"Array",'Problem Tracker'!$D:$D,"Two Pointers",'Problem Tracker'!$E:$E,"Dutch National Flag / Partitioning")</f>
        <v>3</v>
      </c>
      <c r="J11" s="24" t="n">
        <f aca="false">COUNTIFS('Problem Tracker'!$C:$C,"Array",'Problem Tracker'!$D:$D,"Two Pointers",'Problem Tracker'!$E:$E,"Dutch National Flag / Partitioning",'Problem Tracker'!$H:$H,"Easy")</f>
        <v>1</v>
      </c>
      <c r="K11" s="25" t="n">
        <f aca="false">COUNTIFS('Problem Tracker'!$C:$C,"Array",'Problem Tracker'!$D:$D,"Two Pointers",'Problem Tracker'!$E:$E,"Dutch National Flag / Partitioning",'Problem Tracker'!$H:$H,"Medium")</f>
        <v>2</v>
      </c>
      <c r="L11" s="26" t="n">
        <f aca="false">COUNTIFS('Problem Tracker'!$C:$C,"Array",'Problem Tracker'!$D:$D,"Two Pointers",'Problem Tracker'!$E:$E,"Dutch National Flag / Partitioning",'Problem Tracker'!$H:$H,"Hard")</f>
        <v>0</v>
      </c>
      <c r="M11" s="23" t="n">
        <f aca="false">COUNTIFS('Problem Tracker'!$C:$C,"Array",'Problem Tracker'!$D:$D,"Two Pointers",'Problem Tracker'!$E:$E,"Dutch National Flag / Partitioning",'Problem Tracker'!$M:$M,"Solved")+COUNTIFS('Problem Tracker'!$C:$C,"Array",'Problem Tracker'!$D:$D,"Two Pointers",'Problem Tracker'!$E:$E,"Dutch National Flag / Partitioning",'Problem Tracker'!$M:$M,"Mastered")</f>
        <v>0</v>
      </c>
      <c r="N11" s="28" t="n">
        <f aca="false">IF(I11=0,0,M11/I11)</f>
        <v>0</v>
      </c>
    </row>
    <row r="12" customFormat="false" ht="15" hidden="false" customHeight="false" outlineLevel="0" collapsed="false">
      <c r="A12" s="63" t="s">
        <v>22</v>
      </c>
      <c r="B12" s="29" t="s">
        <v>125</v>
      </c>
      <c r="C12" s="64" t="s">
        <v>126</v>
      </c>
      <c r="D12" s="59" t="s">
        <v>101</v>
      </c>
      <c r="E12" s="51" t="s">
        <v>127</v>
      </c>
      <c r="F12" s="51" t="s">
        <v>128</v>
      </c>
      <c r="G12" s="23" t="s">
        <v>99</v>
      </c>
      <c r="H12" s="23" t="s">
        <v>60</v>
      </c>
      <c r="I12" s="23" t="n">
        <f aca="false">COUNTIFS('Problem Tracker'!$C:$C,"Array",'Problem Tracker'!$D:$D,"In-place Manipulation",'Problem Tracker'!$E:$E,"Rotation / Reversal Trick")</f>
        <v>2</v>
      </c>
      <c r="J12" s="24" t="n">
        <f aca="false">COUNTIFS('Problem Tracker'!$C:$C,"Array",'Problem Tracker'!$D:$D,"In-place Manipulation",'Problem Tracker'!$E:$E,"Rotation / Reversal Trick",'Problem Tracker'!$H:$H,"Easy")</f>
        <v>0</v>
      </c>
      <c r="K12" s="25" t="n">
        <f aca="false">COUNTIFS('Problem Tracker'!$C:$C,"Array",'Problem Tracker'!$D:$D,"In-place Manipulation",'Problem Tracker'!$E:$E,"Rotation / Reversal Trick",'Problem Tracker'!$H:$H,"Medium")</f>
        <v>2</v>
      </c>
      <c r="L12" s="26" t="n">
        <f aca="false">COUNTIFS('Problem Tracker'!$C:$C,"Array",'Problem Tracker'!$D:$D,"In-place Manipulation",'Problem Tracker'!$E:$E,"Rotation / Reversal Trick",'Problem Tracker'!$H:$H,"Hard")</f>
        <v>0</v>
      </c>
      <c r="M12" s="23" t="n">
        <f aca="false">COUNTIFS('Problem Tracker'!$C:$C,"Array",'Problem Tracker'!$D:$D,"In-place Manipulation",'Problem Tracker'!$E:$E,"Rotation / Reversal Trick",'Problem Tracker'!$M:$M,"Solved")+COUNTIFS('Problem Tracker'!$C:$C,"Array",'Problem Tracker'!$D:$D,"In-place Manipulation",'Problem Tracker'!$E:$E,"Rotation / Reversal Trick",'Problem Tracker'!$M:$M,"Mastered")</f>
        <v>0</v>
      </c>
      <c r="N12" s="28" t="n">
        <f aca="false">IF(I12=0,0,M12/I12)</f>
        <v>0</v>
      </c>
    </row>
    <row r="13" customFormat="false" ht="15" hidden="false" customHeight="false" outlineLevel="0" collapsed="false">
      <c r="A13" s="63" t="s">
        <v>22</v>
      </c>
      <c r="B13" s="29" t="s">
        <v>125</v>
      </c>
      <c r="C13" s="64" t="s">
        <v>129</v>
      </c>
      <c r="D13" s="59" t="s">
        <v>101</v>
      </c>
      <c r="E13" s="51" t="s">
        <v>130</v>
      </c>
      <c r="F13" s="51" t="s">
        <v>131</v>
      </c>
      <c r="G13" s="23" t="s">
        <v>124</v>
      </c>
      <c r="H13" s="23" t="s">
        <v>60</v>
      </c>
      <c r="I13" s="23" t="n">
        <f aca="false">COUNTIFS('Problem Tracker'!$C:$C,"Array",'Problem Tracker'!$D:$D,"In-place Manipulation",'Problem Tracker'!$E:$E,"Majority Vote (Boyer–Moore)")</f>
        <v>2</v>
      </c>
      <c r="J13" s="24" t="n">
        <f aca="false">COUNTIFS('Problem Tracker'!$C:$C,"Array",'Problem Tracker'!$D:$D,"In-place Manipulation",'Problem Tracker'!$E:$E,"Majority Vote (Boyer–Moore)",'Problem Tracker'!$H:$H,"Easy")</f>
        <v>1</v>
      </c>
      <c r="K13" s="25" t="n">
        <f aca="false">COUNTIFS('Problem Tracker'!$C:$C,"Array",'Problem Tracker'!$D:$D,"In-place Manipulation",'Problem Tracker'!$E:$E,"Majority Vote (Boyer–Moore)",'Problem Tracker'!$H:$H,"Medium")</f>
        <v>1</v>
      </c>
      <c r="L13" s="26" t="n">
        <f aca="false">COUNTIFS('Problem Tracker'!$C:$C,"Array",'Problem Tracker'!$D:$D,"In-place Manipulation",'Problem Tracker'!$E:$E,"Majority Vote (Boyer–Moore)",'Problem Tracker'!$H:$H,"Hard")</f>
        <v>0</v>
      </c>
      <c r="M13" s="23" t="n">
        <f aca="false">COUNTIFS('Problem Tracker'!$C:$C,"Array",'Problem Tracker'!$D:$D,"In-place Manipulation",'Problem Tracker'!$E:$E,"Majority Vote (Boyer–Moore)",'Problem Tracker'!$M:$M,"Solved")+COUNTIFS('Problem Tracker'!$C:$C,"Array",'Problem Tracker'!$D:$D,"In-place Manipulation",'Problem Tracker'!$E:$E,"Majority Vote (Boyer–Moore)",'Problem Tracker'!$M:$M,"Mastered")</f>
        <v>0</v>
      </c>
      <c r="N13" s="28" t="n">
        <f aca="false">IF(I13=0,0,M13/I13)</f>
        <v>0</v>
      </c>
    </row>
    <row r="14" customFormat="false" ht="15" hidden="false" customHeight="false" outlineLevel="0" collapsed="false">
      <c r="A14" s="63" t="s">
        <v>22</v>
      </c>
      <c r="B14" s="29" t="s">
        <v>125</v>
      </c>
      <c r="C14" s="64" t="s">
        <v>132</v>
      </c>
      <c r="D14" s="58" t="s">
        <v>92</v>
      </c>
      <c r="E14" s="51" t="s">
        <v>133</v>
      </c>
      <c r="F14" s="51" t="s">
        <v>134</v>
      </c>
      <c r="G14" s="23" t="s">
        <v>124</v>
      </c>
      <c r="H14" s="23" t="s">
        <v>60</v>
      </c>
      <c r="I14" s="23" t="n">
        <f aca="false">COUNTIFS('Problem Tracker'!$C:$C,"Array",'Problem Tracker'!$D:$D,"In-place Manipulation",'Problem Tracker'!$E:$E,"Cyclic Sort / Index Marking")</f>
        <v>4</v>
      </c>
      <c r="J14" s="24" t="n">
        <f aca="false">COUNTIFS('Problem Tracker'!$C:$C,"Array",'Problem Tracker'!$D:$D,"In-place Manipulation",'Problem Tracker'!$E:$E,"Cyclic Sort / Index Marking",'Problem Tracker'!$H:$H,"Easy")</f>
        <v>1</v>
      </c>
      <c r="K14" s="25" t="n">
        <f aca="false">COUNTIFS('Problem Tracker'!$C:$C,"Array",'Problem Tracker'!$D:$D,"In-place Manipulation",'Problem Tracker'!$E:$E,"Cyclic Sort / Index Marking",'Problem Tracker'!$H:$H,"Medium")</f>
        <v>2</v>
      </c>
      <c r="L14" s="26" t="n">
        <f aca="false">COUNTIFS('Problem Tracker'!$C:$C,"Array",'Problem Tracker'!$D:$D,"In-place Manipulation",'Problem Tracker'!$E:$E,"Cyclic Sort / Index Marking",'Problem Tracker'!$H:$H,"Hard")</f>
        <v>1</v>
      </c>
      <c r="M14" s="23" t="n">
        <f aca="false">COUNTIFS('Problem Tracker'!$C:$C,"Array",'Problem Tracker'!$D:$D,"In-place Manipulation",'Problem Tracker'!$E:$E,"Cyclic Sort / Index Marking",'Problem Tracker'!$M:$M,"Solved")+COUNTIFS('Problem Tracker'!$C:$C,"Array",'Problem Tracker'!$D:$D,"In-place Manipulation",'Problem Tracker'!$E:$E,"Cyclic Sort / Index Marking",'Problem Tracker'!$M:$M,"Mastered")</f>
        <v>0</v>
      </c>
      <c r="N14" s="28" t="n">
        <f aca="false">IF(I14=0,0,M14/I14)</f>
        <v>0</v>
      </c>
    </row>
    <row r="15" customFormat="false" ht="15" hidden="false" customHeight="false" outlineLevel="0" collapsed="false">
      <c r="A15" s="63" t="s">
        <v>22</v>
      </c>
      <c r="B15" s="29" t="s">
        <v>135</v>
      </c>
      <c r="C15" s="64" t="s">
        <v>136</v>
      </c>
      <c r="D15" s="58" t="s">
        <v>92</v>
      </c>
      <c r="E15" s="51" t="s">
        <v>137</v>
      </c>
      <c r="F15" s="51" t="s">
        <v>138</v>
      </c>
      <c r="G15" s="23" t="s">
        <v>99</v>
      </c>
      <c r="H15" s="23" t="s">
        <v>25</v>
      </c>
      <c r="I15" s="23" t="n">
        <f aca="false">COUNTIFS('Problem Tracker'!$C:$C,"Array",'Problem Tracker'!$D:$D,"Sliding Window",'Problem Tracker'!$E:$E,"Fixed Size")</f>
        <v>7</v>
      </c>
      <c r="J15" s="24" t="n">
        <f aca="false">COUNTIFS('Problem Tracker'!$C:$C,"Array",'Problem Tracker'!$D:$D,"Sliding Window",'Problem Tracker'!$E:$E,"Fixed Size",'Problem Tracker'!$H:$H,"Easy")</f>
        <v>1</v>
      </c>
      <c r="K15" s="25" t="n">
        <f aca="false">COUNTIFS('Problem Tracker'!$C:$C,"Array",'Problem Tracker'!$D:$D,"Sliding Window",'Problem Tracker'!$E:$E,"Fixed Size",'Problem Tracker'!$H:$H,"Medium")</f>
        <v>5</v>
      </c>
      <c r="L15" s="26" t="n">
        <f aca="false">COUNTIFS('Problem Tracker'!$C:$C,"Array",'Problem Tracker'!$D:$D,"Sliding Window",'Problem Tracker'!$E:$E,"Fixed Size",'Problem Tracker'!$H:$H,"Hard")</f>
        <v>1</v>
      </c>
      <c r="M15" s="23" t="n">
        <f aca="false">COUNTIFS('Problem Tracker'!$C:$C,"Array",'Problem Tracker'!$D:$D,"Sliding Window",'Problem Tracker'!$E:$E,"Fixed Size",'Problem Tracker'!$M:$M,"Solved")+COUNTIFS('Problem Tracker'!$C:$C,"Array",'Problem Tracker'!$D:$D,"Sliding Window",'Problem Tracker'!$E:$E,"Fixed Size",'Problem Tracker'!$M:$M,"Mastered")</f>
        <v>0</v>
      </c>
      <c r="N15" s="28" t="n">
        <f aca="false">IF(I15=0,0,M15/I15)</f>
        <v>0</v>
      </c>
    </row>
    <row r="16" customFormat="false" ht="23.85" hidden="false" customHeight="false" outlineLevel="0" collapsed="false">
      <c r="A16" s="63" t="s">
        <v>22</v>
      </c>
      <c r="B16" s="29" t="s">
        <v>135</v>
      </c>
      <c r="C16" s="64" t="s">
        <v>139</v>
      </c>
      <c r="D16" s="58" t="s">
        <v>92</v>
      </c>
      <c r="E16" s="51" t="s">
        <v>140</v>
      </c>
      <c r="F16" s="51" t="s">
        <v>141</v>
      </c>
      <c r="G16" s="23" t="s">
        <v>99</v>
      </c>
      <c r="H16" s="23" t="s">
        <v>25</v>
      </c>
      <c r="I16" s="23" t="n">
        <f aca="false">COUNTIFS('Problem Tracker'!$C:$C,"Array",'Problem Tracker'!$D:$D,"Sliding Window",'Problem Tracker'!$E:$E,"Variable Size (Longest / Shortest Valid)")</f>
        <v>7</v>
      </c>
      <c r="J16" s="24" t="n">
        <f aca="false">COUNTIFS('Problem Tracker'!$C:$C,"Array",'Problem Tracker'!$D:$D,"Sliding Window",'Problem Tracker'!$E:$E,"Variable Size (Longest / Shortest Valid)",'Problem Tracker'!$H:$H,"Easy")</f>
        <v>0</v>
      </c>
      <c r="K16" s="25" t="n">
        <f aca="false">COUNTIFS('Problem Tracker'!$C:$C,"Array",'Problem Tracker'!$D:$D,"Sliding Window",'Problem Tracker'!$E:$E,"Variable Size (Longest / Shortest Valid)",'Problem Tracker'!$H:$H,"Medium")</f>
        <v>6</v>
      </c>
      <c r="L16" s="26" t="n">
        <f aca="false">COUNTIFS('Problem Tracker'!$C:$C,"Array",'Problem Tracker'!$D:$D,"Sliding Window",'Problem Tracker'!$E:$E,"Variable Size (Longest / Shortest Valid)",'Problem Tracker'!$H:$H,"Hard")</f>
        <v>1</v>
      </c>
      <c r="M16" s="23" t="n">
        <f aca="false">COUNTIFS('Problem Tracker'!$C:$C,"Array",'Problem Tracker'!$D:$D,"Sliding Window",'Problem Tracker'!$E:$E,"Variable Size (Longest / Shortest Valid)",'Problem Tracker'!$M:$M,"Solved")+COUNTIFS('Problem Tracker'!$C:$C,"Array",'Problem Tracker'!$D:$D,"Sliding Window",'Problem Tracker'!$E:$E,"Variable Size (Longest / Shortest Valid)",'Problem Tracker'!$M:$M,"Mastered")</f>
        <v>0</v>
      </c>
      <c r="N16" s="28" t="n">
        <f aca="false">IF(I16=0,0,M16/I16)</f>
        <v>0</v>
      </c>
    </row>
    <row r="17" customFormat="false" ht="23.85" hidden="false" customHeight="false" outlineLevel="0" collapsed="false">
      <c r="A17" s="63" t="s">
        <v>22</v>
      </c>
      <c r="B17" s="29" t="s">
        <v>135</v>
      </c>
      <c r="C17" s="64" t="s">
        <v>142</v>
      </c>
      <c r="D17" s="59" t="s">
        <v>101</v>
      </c>
      <c r="E17" s="51" t="s">
        <v>143</v>
      </c>
      <c r="F17" s="51" t="s">
        <v>144</v>
      </c>
      <c r="G17" s="23" t="s">
        <v>99</v>
      </c>
      <c r="H17" s="23" t="s">
        <v>25</v>
      </c>
      <c r="I17" s="23" t="n">
        <f aca="false">COUNTIFS('Problem Tracker'!$C:$C,"Array",'Problem Tracker'!$D:$D,"Sliding Window",'Problem Tracker'!$E:$E,"Expand–Shrink Counting (At-Most-K Trick)")</f>
        <v>7</v>
      </c>
      <c r="J17" s="24" t="n">
        <f aca="false">COUNTIFS('Problem Tracker'!$C:$C,"Array",'Problem Tracker'!$D:$D,"Sliding Window",'Problem Tracker'!$E:$E,"Expand–Shrink Counting (At-Most-K Trick)",'Problem Tracker'!$H:$H,"Easy")</f>
        <v>0</v>
      </c>
      <c r="K17" s="25" t="n">
        <f aca="false">COUNTIFS('Problem Tracker'!$C:$C,"Array",'Problem Tracker'!$D:$D,"Sliding Window",'Problem Tracker'!$E:$E,"Expand–Shrink Counting (At-Most-K Trick)",'Problem Tracker'!$H:$H,"Medium")</f>
        <v>5</v>
      </c>
      <c r="L17" s="26" t="n">
        <f aca="false">COUNTIFS('Problem Tracker'!$C:$C,"Array",'Problem Tracker'!$D:$D,"Sliding Window",'Problem Tracker'!$E:$E,"Expand–Shrink Counting (At-Most-K Trick)",'Problem Tracker'!$H:$H,"Hard")</f>
        <v>2</v>
      </c>
      <c r="M17" s="23" t="n">
        <f aca="false">COUNTIFS('Problem Tracker'!$C:$C,"Array",'Problem Tracker'!$D:$D,"Sliding Window",'Problem Tracker'!$E:$E,"Expand–Shrink Counting (At-Most-K Trick)",'Problem Tracker'!$M:$M,"Solved")+COUNTIFS('Problem Tracker'!$C:$C,"Array",'Problem Tracker'!$D:$D,"Sliding Window",'Problem Tracker'!$E:$E,"Expand–Shrink Counting (At-Most-K Trick)",'Problem Tracker'!$M:$M,"Mastered")</f>
        <v>0</v>
      </c>
      <c r="N17" s="28" t="n">
        <f aca="false">IF(I17=0,0,M17/I17)</f>
        <v>0</v>
      </c>
    </row>
    <row r="18" customFormat="false" ht="23.85" hidden="false" customHeight="false" outlineLevel="0" collapsed="false">
      <c r="A18" s="63" t="s">
        <v>22</v>
      </c>
      <c r="B18" s="29" t="s">
        <v>135</v>
      </c>
      <c r="C18" s="64" t="s">
        <v>145</v>
      </c>
      <c r="D18" s="59" t="s">
        <v>101</v>
      </c>
      <c r="E18" s="51" t="s">
        <v>146</v>
      </c>
      <c r="F18" s="51" t="s">
        <v>147</v>
      </c>
      <c r="G18" s="23" t="s">
        <v>99</v>
      </c>
      <c r="H18" s="23" t="s">
        <v>25</v>
      </c>
      <c r="I18" s="23" t="n">
        <f aca="false">COUNTIFS('Problem Tracker'!$C:$C,"Array",'Problem Tracker'!$D:$D,"Sliding Window",'Problem Tracker'!$E:$E,"Monotonic Window (Deque)")</f>
        <v>5</v>
      </c>
      <c r="J18" s="24" t="n">
        <f aca="false">COUNTIFS('Problem Tracker'!$C:$C,"Array",'Problem Tracker'!$D:$D,"Sliding Window",'Problem Tracker'!$E:$E,"Monotonic Window (Deque)",'Problem Tracker'!$H:$H,"Easy")</f>
        <v>0</v>
      </c>
      <c r="K18" s="25" t="n">
        <f aca="false">COUNTIFS('Problem Tracker'!$C:$C,"Array",'Problem Tracker'!$D:$D,"Sliding Window",'Problem Tracker'!$E:$E,"Monotonic Window (Deque)",'Problem Tracker'!$H:$H,"Medium")</f>
        <v>2</v>
      </c>
      <c r="L18" s="26" t="n">
        <f aca="false">COUNTIFS('Problem Tracker'!$C:$C,"Array",'Problem Tracker'!$D:$D,"Sliding Window",'Problem Tracker'!$E:$E,"Monotonic Window (Deque)",'Problem Tracker'!$H:$H,"Hard")</f>
        <v>3</v>
      </c>
      <c r="M18" s="23" t="n">
        <f aca="false">COUNTIFS('Problem Tracker'!$C:$C,"Array",'Problem Tracker'!$D:$D,"Sliding Window",'Problem Tracker'!$E:$E,"Monotonic Window (Deque)",'Problem Tracker'!$M:$M,"Solved")+COUNTIFS('Problem Tracker'!$C:$C,"Array",'Problem Tracker'!$D:$D,"Sliding Window",'Problem Tracker'!$E:$E,"Monotonic Window (Deque)",'Problem Tracker'!$M:$M,"Mastered")</f>
        <v>0</v>
      </c>
      <c r="N18" s="28" t="n">
        <f aca="false">IF(I18=0,0,M18/I18)</f>
        <v>0</v>
      </c>
    </row>
    <row r="19" customFormat="false" ht="23.85" hidden="false" customHeight="false" outlineLevel="0" collapsed="false">
      <c r="A19" s="63" t="s">
        <v>22</v>
      </c>
      <c r="B19" s="29" t="s">
        <v>148</v>
      </c>
      <c r="C19" s="64" t="s">
        <v>149</v>
      </c>
      <c r="D19" s="58" t="s">
        <v>92</v>
      </c>
      <c r="E19" s="51" t="s">
        <v>150</v>
      </c>
      <c r="F19" s="51" t="s">
        <v>151</v>
      </c>
      <c r="G19" s="23" t="s">
        <v>152</v>
      </c>
      <c r="H19" s="23" t="s">
        <v>25</v>
      </c>
      <c r="I19" s="23" t="n">
        <f aca="false">COUNTIFS('Problem Tracker'!$C:$C,"Array",'Problem Tracker'!$D:$D,"Prefix Sum",'Problem Tracker'!$E:$E,"1D Prefix Sum")</f>
        <v>3</v>
      </c>
      <c r="J19" s="24" t="n">
        <f aca="false">COUNTIFS('Problem Tracker'!$C:$C,"Array",'Problem Tracker'!$D:$D,"Prefix Sum",'Problem Tracker'!$E:$E,"1D Prefix Sum",'Problem Tracker'!$H:$H,"Easy")</f>
        <v>3</v>
      </c>
      <c r="K19" s="25" t="n">
        <f aca="false">COUNTIFS('Problem Tracker'!$C:$C,"Array",'Problem Tracker'!$D:$D,"Prefix Sum",'Problem Tracker'!$E:$E,"1D Prefix Sum",'Problem Tracker'!$H:$H,"Medium")</f>
        <v>0</v>
      </c>
      <c r="L19" s="26" t="n">
        <f aca="false">COUNTIFS('Problem Tracker'!$C:$C,"Array",'Problem Tracker'!$D:$D,"Prefix Sum",'Problem Tracker'!$E:$E,"1D Prefix Sum",'Problem Tracker'!$H:$H,"Hard")</f>
        <v>0</v>
      </c>
      <c r="M19" s="23" t="n">
        <f aca="false">COUNTIFS('Problem Tracker'!$C:$C,"Array",'Problem Tracker'!$D:$D,"Prefix Sum",'Problem Tracker'!$E:$E,"1D Prefix Sum",'Problem Tracker'!$M:$M,"Solved")+COUNTIFS('Problem Tracker'!$C:$C,"Array",'Problem Tracker'!$D:$D,"Prefix Sum",'Problem Tracker'!$E:$E,"1D Prefix Sum",'Problem Tracker'!$M:$M,"Mastered")</f>
        <v>0</v>
      </c>
      <c r="N19" s="28" t="n">
        <f aca="false">IF(I19=0,0,M19/I19)</f>
        <v>0</v>
      </c>
    </row>
    <row r="20" customFormat="false" ht="23.85" hidden="false" customHeight="false" outlineLevel="0" collapsed="false">
      <c r="A20" s="63" t="s">
        <v>22</v>
      </c>
      <c r="B20" s="29" t="s">
        <v>148</v>
      </c>
      <c r="C20" s="64" t="s">
        <v>153</v>
      </c>
      <c r="D20" s="58" t="s">
        <v>92</v>
      </c>
      <c r="E20" s="51" t="s">
        <v>154</v>
      </c>
      <c r="F20" s="51" t="s">
        <v>155</v>
      </c>
      <c r="G20" s="23" t="s">
        <v>99</v>
      </c>
      <c r="H20" s="23" t="s">
        <v>25</v>
      </c>
      <c r="I20" s="23" t="n">
        <f aca="false">COUNTIFS('Problem Tracker'!$C:$C,"Array",'Problem Tracker'!$D:$D,"Prefix Sum",'Problem Tracker'!$E:$E,"Prefix Sum + HashMap")</f>
        <v>5</v>
      </c>
      <c r="J20" s="24" t="n">
        <f aca="false">COUNTIFS('Problem Tracker'!$C:$C,"Array",'Problem Tracker'!$D:$D,"Prefix Sum",'Problem Tracker'!$E:$E,"Prefix Sum + HashMap",'Problem Tracker'!$H:$H,"Easy")</f>
        <v>0</v>
      </c>
      <c r="K20" s="25" t="n">
        <f aca="false">COUNTIFS('Problem Tracker'!$C:$C,"Array",'Problem Tracker'!$D:$D,"Prefix Sum",'Problem Tracker'!$E:$E,"Prefix Sum + HashMap",'Problem Tracker'!$H:$H,"Medium")</f>
        <v>4</v>
      </c>
      <c r="L20" s="26" t="n">
        <f aca="false">COUNTIFS('Problem Tracker'!$C:$C,"Array",'Problem Tracker'!$D:$D,"Prefix Sum",'Problem Tracker'!$E:$E,"Prefix Sum + HashMap",'Problem Tracker'!$H:$H,"Hard")</f>
        <v>1</v>
      </c>
      <c r="M20" s="23" t="n">
        <f aca="false">COUNTIFS('Problem Tracker'!$C:$C,"Array",'Problem Tracker'!$D:$D,"Prefix Sum",'Problem Tracker'!$E:$E,"Prefix Sum + HashMap",'Problem Tracker'!$M:$M,"Solved")+COUNTIFS('Problem Tracker'!$C:$C,"Array",'Problem Tracker'!$D:$D,"Prefix Sum",'Problem Tracker'!$E:$E,"Prefix Sum + HashMap",'Problem Tracker'!$M:$M,"Mastered")</f>
        <v>0</v>
      </c>
      <c r="N20" s="28" t="n">
        <f aca="false">IF(I20=0,0,M20/I20)</f>
        <v>0</v>
      </c>
    </row>
    <row r="21" customFormat="false" ht="23.85" hidden="false" customHeight="false" outlineLevel="0" collapsed="false">
      <c r="A21" s="63" t="s">
        <v>22</v>
      </c>
      <c r="B21" s="29" t="s">
        <v>148</v>
      </c>
      <c r="C21" s="64" t="s">
        <v>156</v>
      </c>
      <c r="D21" s="59" t="s">
        <v>101</v>
      </c>
      <c r="E21" s="51" t="s">
        <v>157</v>
      </c>
      <c r="F21" s="51" t="s">
        <v>158</v>
      </c>
      <c r="G21" s="23" t="s">
        <v>159</v>
      </c>
      <c r="H21" s="23" t="s">
        <v>25</v>
      </c>
      <c r="I21" s="23" t="n">
        <f aca="false">COUNTIFS('Problem Tracker'!$C:$C,"Array",'Problem Tracker'!$D:$D,"Prefix Sum",'Problem Tracker'!$E:$E,"2D Prefix Sum")</f>
        <v>2</v>
      </c>
      <c r="J21" s="24" t="n">
        <f aca="false">COUNTIFS('Problem Tracker'!$C:$C,"Array",'Problem Tracker'!$D:$D,"Prefix Sum",'Problem Tracker'!$E:$E,"2D Prefix Sum",'Problem Tracker'!$H:$H,"Easy")</f>
        <v>0</v>
      </c>
      <c r="K21" s="25" t="n">
        <f aca="false">COUNTIFS('Problem Tracker'!$C:$C,"Array",'Problem Tracker'!$D:$D,"Prefix Sum",'Problem Tracker'!$E:$E,"2D Prefix Sum",'Problem Tracker'!$H:$H,"Medium")</f>
        <v>2</v>
      </c>
      <c r="L21" s="26" t="n">
        <f aca="false">COUNTIFS('Problem Tracker'!$C:$C,"Array",'Problem Tracker'!$D:$D,"Prefix Sum",'Problem Tracker'!$E:$E,"2D Prefix Sum",'Problem Tracker'!$H:$H,"Hard")</f>
        <v>0</v>
      </c>
      <c r="M21" s="23" t="n">
        <f aca="false">COUNTIFS('Problem Tracker'!$C:$C,"Array",'Problem Tracker'!$D:$D,"Prefix Sum",'Problem Tracker'!$E:$E,"2D Prefix Sum",'Problem Tracker'!$M:$M,"Solved")+COUNTIFS('Problem Tracker'!$C:$C,"Array",'Problem Tracker'!$D:$D,"Prefix Sum",'Problem Tracker'!$E:$E,"2D Prefix Sum",'Problem Tracker'!$M:$M,"Mastered")</f>
        <v>0</v>
      </c>
      <c r="N21" s="28" t="n">
        <f aca="false">IF(I21=0,0,M21/I21)</f>
        <v>0</v>
      </c>
    </row>
    <row r="22" customFormat="false" ht="15" hidden="false" customHeight="false" outlineLevel="0" collapsed="false">
      <c r="A22" s="63" t="s">
        <v>22</v>
      </c>
      <c r="B22" s="29" t="s">
        <v>148</v>
      </c>
      <c r="C22" s="64" t="s">
        <v>160</v>
      </c>
      <c r="D22" s="59" t="s">
        <v>101</v>
      </c>
      <c r="E22" s="51" t="s">
        <v>161</v>
      </c>
      <c r="F22" s="51" t="s">
        <v>162</v>
      </c>
      <c r="G22" s="23" t="s">
        <v>163</v>
      </c>
      <c r="H22" s="23" t="s">
        <v>25</v>
      </c>
      <c r="I22" s="23" t="n">
        <f aca="false">COUNTIFS('Problem Tracker'!$C:$C,"Array",'Problem Tracker'!$D:$D,"Prefix Sum",'Problem Tracker'!$E:$E,"Difference Array")</f>
        <v>3</v>
      </c>
      <c r="J22" s="24" t="n">
        <f aca="false">COUNTIFS('Problem Tracker'!$C:$C,"Array",'Problem Tracker'!$D:$D,"Prefix Sum",'Problem Tracker'!$E:$E,"Difference Array",'Problem Tracker'!$H:$H,"Easy")</f>
        <v>0</v>
      </c>
      <c r="K22" s="25" t="n">
        <f aca="false">COUNTIFS('Problem Tracker'!$C:$C,"Array",'Problem Tracker'!$D:$D,"Prefix Sum",'Problem Tracker'!$E:$E,"Difference Array",'Problem Tracker'!$H:$H,"Medium")</f>
        <v>3</v>
      </c>
      <c r="L22" s="26" t="n">
        <f aca="false">COUNTIFS('Problem Tracker'!$C:$C,"Array",'Problem Tracker'!$D:$D,"Prefix Sum",'Problem Tracker'!$E:$E,"Difference Array",'Problem Tracker'!$H:$H,"Hard")</f>
        <v>0</v>
      </c>
      <c r="M22" s="23" t="n">
        <f aca="false">COUNTIFS('Problem Tracker'!$C:$C,"Array",'Problem Tracker'!$D:$D,"Prefix Sum",'Problem Tracker'!$E:$E,"Difference Array",'Problem Tracker'!$M:$M,"Solved")+COUNTIFS('Problem Tracker'!$C:$C,"Array",'Problem Tracker'!$D:$D,"Prefix Sum",'Problem Tracker'!$E:$E,"Difference Array",'Problem Tracker'!$M:$M,"Mastered")</f>
        <v>0</v>
      </c>
      <c r="N22" s="28" t="n">
        <f aca="false">IF(I22=0,0,M22/I22)</f>
        <v>0</v>
      </c>
    </row>
    <row r="23" customFormat="false" ht="15" hidden="false" customHeight="false" outlineLevel="0" collapsed="false">
      <c r="A23" s="63" t="s">
        <v>22</v>
      </c>
      <c r="B23" s="29" t="s">
        <v>148</v>
      </c>
      <c r="C23" s="64" t="s">
        <v>164</v>
      </c>
      <c r="D23" s="58" t="s">
        <v>92</v>
      </c>
      <c r="E23" s="51" t="s">
        <v>165</v>
      </c>
      <c r="F23" s="51" t="s">
        <v>166</v>
      </c>
      <c r="G23" s="23" t="s">
        <v>99</v>
      </c>
      <c r="H23" s="23" t="s">
        <v>25</v>
      </c>
      <c r="I23" s="23" t="n">
        <f aca="false">COUNTIFS('Problem Tracker'!$C:$C,"Array",'Problem Tracker'!$D:$D,"Prefix Sum",'Problem Tracker'!$E:$E,"Prefix–Suffix Products / Splits")</f>
        <v>2</v>
      </c>
      <c r="J23" s="24" t="n">
        <f aca="false">COUNTIFS('Problem Tracker'!$C:$C,"Array",'Problem Tracker'!$D:$D,"Prefix Sum",'Problem Tracker'!$E:$E,"Prefix–Suffix Products / Splits",'Problem Tracker'!$H:$H,"Easy")</f>
        <v>0</v>
      </c>
      <c r="K23" s="25" t="n">
        <f aca="false">COUNTIFS('Problem Tracker'!$C:$C,"Array",'Problem Tracker'!$D:$D,"Prefix Sum",'Problem Tracker'!$E:$E,"Prefix–Suffix Products / Splits",'Problem Tracker'!$H:$H,"Medium")</f>
        <v>2</v>
      </c>
      <c r="L23" s="26" t="n">
        <f aca="false">COUNTIFS('Problem Tracker'!$C:$C,"Array",'Problem Tracker'!$D:$D,"Prefix Sum",'Problem Tracker'!$E:$E,"Prefix–Suffix Products / Splits",'Problem Tracker'!$H:$H,"Hard")</f>
        <v>0</v>
      </c>
      <c r="M23" s="23" t="n">
        <f aca="false">COUNTIFS('Problem Tracker'!$C:$C,"Array",'Problem Tracker'!$D:$D,"Prefix Sum",'Problem Tracker'!$E:$E,"Prefix–Suffix Products / Splits",'Problem Tracker'!$M:$M,"Solved")+COUNTIFS('Problem Tracker'!$C:$C,"Array",'Problem Tracker'!$D:$D,"Prefix Sum",'Problem Tracker'!$E:$E,"Prefix–Suffix Products / Splits",'Problem Tracker'!$M:$M,"Mastered")</f>
        <v>0</v>
      </c>
      <c r="N23" s="28" t="n">
        <f aca="false">IF(I23=0,0,M23/I23)</f>
        <v>0</v>
      </c>
    </row>
    <row r="24" customFormat="false" ht="15" hidden="false" customHeight="false" outlineLevel="0" collapsed="false">
      <c r="A24" s="63" t="s">
        <v>22</v>
      </c>
      <c r="B24" s="29" t="s">
        <v>167</v>
      </c>
      <c r="C24" s="64" t="s">
        <v>168</v>
      </c>
      <c r="D24" s="58" t="s">
        <v>92</v>
      </c>
      <c r="E24" s="51" t="s">
        <v>169</v>
      </c>
      <c r="F24" s="51" t="s">
        <v>170</v>
      </c>
      <c r="G24" s="23" t="s">
        <v>124</v>
      </c>
      <c r="H24" s="23" t="s">
        <v>25</v>
      </c>
      <c r="I24" s="23" t="n">
        <f aca="false">COUNTIFS('Problem Tracker'!$C:$C,"Array",'Problem Tracker'!$D:$D,"Kadane's / Subarray",'Problem Tracker'!$E:$E,"Running Min / Max (Kadane Core)")</f>
        <v>3</v>
      </c>
      <c r="J24" s="24" t="n">
        <f aca="false">COUNTIFS('Problem Tracker'!$C:$C,"Array",'Problem Tracker'!$D:$D,"Kadane's / Subarray",'Problem Tracker'!$E:$E,"Running Min / Max (Kadane Core)",'Problem Tracker'!$H:$H,"Easy")</f>
        <v>1</v>
      </c>
      <c r="K24" s="25" t="n">
        <f aca="false">COUNTIFS('Problem Tracker'!$C:$C,"Array",'Problem Tracker'!$D:$D,"Kadane's / Subarray",'Problem Tracker'!$E:$E,"Running Min / Max (Kadane Core)",'Problem Tracker'!$H:$H,"Medium")</f>
        <v>2</v>
      </c>
      <c r="L24" s="26" t="n">
        <f aca="false">COUNTIFS('Problem Tracker'!$C:$C,"Array",'Problem Tracker'!$D:$D,"Kadane's / Subarray",'Problem Tracker'!$E:$E,"Running Min / Max (Kadane Core)",'Problem Tracker'!$H:$H,"Hard")</f>
        <v>0</v>
      </c>
      <c r="M24" s="23" t="n">
        <f aca="false">COUNTIFS('Problem Tracker'!$C:$C,"Array",'Problem Tracker'!$D:$D,"Kadane's / Subarray",'Problem Tracker'!$E:$E,"Running Min / Max (Kadane Core)",'Problem Tracker'!$M:$M,"Solved")+COUNTIFS('Problem Tracker'!$C:$C,"Array",'Problem Tracker'!$D:$D,"Kadane's / Subarray",'Problem Tracker'!$E:$E,"Running Min / Max (Kadane Core)",'Problem Tracker'!$M:$M,"Mastered")</f>
        <v>0</v>
      </c>
      <c r="N24" s="28" t="n">
        <f aca="false">IF(I24=0,0,M24/I24)</f>
        <v>0</v>
      </c>
    </row>
    <row r="25" customFormat="false" ht="23.85" hidden="false" customHeight="false" outlineLevel="0" collapsed="false">
      <c r="A25" s="63" t="s">
        <v>22</v>
      </c>
      <c r="B25" s="29" t="s">
        <v>167</v>
      </c>
      <c r="C25" s="64" t="s">
        <v>171</v>
      </c>
      <c r="D25" s="59" t="s">
        <v>101</v>
      </c>
      <c r="E25" s="51" t="s">
        <v>172</v>
      </c>
      <c r="F25" s="51" t="s">
        <v>173</v>
      </c>
      <c r="G25" s="23" t="s">
        <v>99</v>
      </c>
      <c r="H25" s="23" t="s">
        <v>25</v>
      </c>
      <c r="I25" s="23" t="n">
        <f aca="false">COUNTIFS('Problem Tracker'!$C:$C,"Array",'Problem Tracker'!$D:$D,"Kadane's / Subarray",'Problem Tracker'!$E:$E,"Kadane Variants (Product / Circular / Deletion)")</f>
        <v>3</v>
      </c>
      <c r="J25" s="24" t="n">
        <f aca="false">COUNTIFS('Problem Tracker'!$C:$C,"Array",'Problem Tracker'!$D:$D,"Kadane's / Subarray",'Problem Tracker'!$E:$E,"Kadane Variants (Product / Circular / Deletion)",'Problem Tracker'!$H:$H,"Easy")</f>
        <v>0</v>
      </c>
      <c r="K25" s="25" t="n">
        <f aca="false">COUNTIFS('Problem Tracker'!$C:$C,"Array",'Problem Tracker'!$D:$D,"Kadane's / Subarray",'Problem Tracker'!$E:$E,"Kadane Variants (Product / Circular / Deletion)",'Problem Tracker'!$H:$H,"Medium")</f>
        <v>3</v>
      </c>
      <c r="L25" s="26" t="n">
        <f aca="false">COUNTIFS('Problem Tracker'!$C:$C,"Array",'Problem Tracker'!$D:$D,"Kadane's / Subarray",'Problem Tracker'!$E:$E,"Kadane Variants (Product / Circular / Deletion)",'Problem Tracker'!$H:$H,"Hard")</f>
        <v>0</v>
      </c>
      <c r="M25" s="23" t="n">
        <f aca="false">COUNTIFS('Problem Tracker'!$C:$C,"Array",'Problem Tracker'!$D:$D,"Kadane's / Subarray",'Problem Tracker'!$E:$E,"Kadane Variants (Product / Circular / Deletion)",'Problem Tracker'!$M:$M,"Solved")+COUNTIFS('Problem Tracker'!$C:$C,"Array",'Problem Tracker'!$D:$D,"Kadane's / Subarray",'Problem Tracker'!$E:$E,"Kadane Variants (Product / Circular / Deletion)",'Problem Tracker'!$M:$M,"Mastered")</f>
        <v>0</v>
      </c>
      <c r="N25" s="28" t="n">
        <f aca="false">IF(I25=0,0,M25/I25)</f>
        <v>0</v>
      </c>
    </row>
    <row r="26" customFormat="false" ht="15" hidden="false" customHeight="false" outlineLevel="0" collapsed="false">
      <c r="A26" s="65" t="s">
        <v>174</v>
      </c>
      <c r="B26" s="66"/>
      <c r="C26" s="66"/>
      <c r="D26" s="66"/>
      <c r="E26" s="66"/>
      <c r="F26" s="66"/>
      <c r="G26" s="66"/>
      <c r="H26" s="66"/>
      <c r="I26" s="66" t="n">
        <f aca="false">COUNTIF('Problem Tracker'!$C:$C,"String")</f>
        <v>34</v>
      </c>
      <c r="J26" s="66"/>
      <c r="K26" s="66"/>
      <c r="L26" s="66"/>
      <c r="M26" s="66" t="n">
        <f aca="false">COUNTIFS('Problem Tracker'!$C:$C,"String",'Problem Tracker'!$M:$M,"Solved")+COUNTIFS('Problem Tracker'!$C:$C,"String",'Problem Tracker'!$M:$M,"Mastered")</f>
        <v>0</v>
      </c>
      <c r="N26" s="67" t="n">
        <f aca="false">IF(I26=0,0,M26/I26)</f>
        <v>0</v>
      </c>
    </row>
    <row r="27" customFormat="false" ht="15" hidden="false" customHeight="false" outlineLevel="0" collapsed="false">
      <c r="A27" s="68" t="s">
        <v>24</v>
      </c>
      <c r="B27" s="30" t="s">
        <v>175</v>
      </c>
      <c r="C27" s="69" t="s">
        <v>176</v>
      </c>
      <c r="D27" s="59" t="s">
        <v>101</v>
      </c>
      <c r="E27" s="51" t="s">
        <v>177</v>
      </c>
      <c r="F27" s="51" t="s">
        <v>178</v>
      </c>
      <c r="G27" s="23" t="s">
        <v>99</v>
      </c>
      <c r="H27" s="23" t="s">
        <v>25</v>
      </c>
      <c r="I27" s="23" t="n">
        <f aca="false">COUNTIFS('Problem Tracker'!$C:$C,"String",'Problem Tracker'!$D:$D,"Palindrome",'Problem Tracker'!$E:$E,"Two-Pointer Check")</f>
        <v>2</v>
      </c>
      <c r="J27" s="24" t="n">
        <f aca="false">COUNTIFS('Problem Tracker'!$C:$C,"String",'Problem Tracker'!$D:$D,"Palindrome",'Problem Tracker'!$E:$E,"Two-Pointer Check",'Problem Tracker'!$H:$H,"Easy")</f>
        <v>2</v>
      </c>
      <c r="K27" s="25" t="n">
        <f aca="false">COUNTIFS('Problem Tracker'!$C:$C,"String",'Problem Tracker'!$D:$D,"Palindrome",'Problem Tracker'!$E:$E,"Two-Pointer Check",'Problem Tracker'!$H:$H,"Medium")</f>
        <v>0</v>
      </c>
      <c r="L27" s="26" t="n">
        <f aca="false">COUNTIFS('Problem Tracker'!$C:$C,"String",'Problem Tracker'!$D:$D,"Palindrome",'Problem Tracker'!$E:$E,"Two-Pointer Check",'Problem Tracker'!$H:$H,"Hard")</f>
        <v>0</v>
      </c>
      <c r="M27" s="23" t="n">
        <f aca="false">COUNTIFS('Problem Tracker'!$C:$C,"String",'Problem Tracker'!$D:$D,"Palindrome",'Problem Tracker'!$E:$E,"Two-Pointer Check",'Problem Tracker'!$M:$M,"Solved")+COUNTIFS('Problem Tracker'!$C:$C,"String",'Problem Tracker'!$D:$D,"Palindrome",'Problem Tracker'!$E:$E,"Two-Pointer Check",'Problem Tracker'!$M:$M,"Mastered")</f>
        <v>0</v>
      </c>
      <c r="N27" s="28" t="n">
        <f aca="false">IF(I27=0,0,M27/I27)</f>
        <v>0</v>
      </c>
    </row>
    <row r="28" customFormat="false" ht="15" hidden="false" customHeight="false" outlineLevel="0" collapsed="false">
      <c r="A28" s="68" t="s">
        <v>24</v>
      </c>
      <c r="B28" s="30" t="s">
        <v>175</v>
      </c>
      <c r="C28" s="69" t="s">
        <v>179</v>
      </c>
      <c r="D28" s="58" t="s">
        <v>92</v>
      </c>
      <c r="E28" s="51" t="s">
        <v>180</v>
      </c>
      <c r="F28" s="51" t="s">
        <v>181</v>
      </c>
      <c r="G28" s="23" t="s">
        <v>182</v>
      </c>
      <c r="H28" s="23" t="s">
        <v>25</v>
      </c>
      <c r="I28" s="23" t="n">
        <f aca="false">COUNTIFS('Problem Tracker'!$C:$C,"String",'Problem Tracker'!$D:$D,"Palindrome",'Problem Tracker'!$E:$E,"Expand Around Center")</f>
        <v>2</v>
      </c>
      <c r="J28" s="24" t="n">
        <f aca="false">COUNTIFS('Problem Tracker'!$C:$C,"String",'Problem Tracker'!$D:$D,"Palindrome",'Problem Tracker'!$E:$E,"Expand Around Center",'Problem Tracker'!$H:$H,"Easy")</f>
        <v>0</v>
      </c>
      <c r="K28" s="25" t="n">
        <f aca="false">COUNTIFS('Problem Tracker'!$C:$C,"String",'Problem Tracker'!$D:$D,"Palindrome",'Problem Tracker'!$E:$E,"Expand Around Center",'Problem Tracker'!$H:$H,"Medium")</f>
        <v>2</v>
      </c>
      <c r="L28" s="26" t="n">
        <f aca="false">COUNTIFS('Problem Tracker'!$C:$C,"String",'Problem Tracker'!$D:$D,"Palindrome",'Problem Tracker'!$E:$E,"Expand Around Center",'Problem Tracker'!$H:$H,"Hard")</f>
        <v>0</v>
      </c>
      <c r="M28" s="23" t="n">
        <f aca="false">COUNTIFS('Problem Tracker'!$C:$C,"String",'Problem Tracker'!$D:$D,"Palindrome",'Problem Tracker'!$E:$E,"Expand Around Center",'Problem Tracker'!$M:$M,"Solved")+COUNTIFS('Problem Tracker'!$C:$C,"String",'Problem Tracker'!$D:$D,"Palindrome",'Problem Tracker'!$E:$E,"Expand Around Center",'Problem Tracker'!$M:$M,"Mastered")</f>
        <v>0</v>
      </c>
      <c r="N28" s="28" t="n">
        <f aca="false">IF(I28=0,0,M28/I28)</f>
        <v>0</v>
      </c>
    </row>
    <row r="29" customFormat="false" ht="23.85" hidden="false" customHeight="false" outlineLevel="0" collapsed="false">
      <c r="A29" s="68" t="s">
        <v>24</v>
      </c>
      <c r="B29" s="30" t="s">
        <v>175</v>
      </c>
      <c r="C29" s="69" t="s">
        <v>183</v>
      </c>
      <c r="D29" s="70" t="s">
        <v>9</v>
      </c>
      <c r="E29" s="51" t="s">
        <v>184</v>
      </c>
      <c r="F29" s="51" t="s">
        <v>185</v>
      </c>
      <c r="G29" s="23" t="s">
        <v>99</v>
      </c>
      <c r="H29" s="23" t="s">
        <v>25</v>
      </c>
      <c r="I29" s="23" t="n">
        <f aca="false">COUNTIFS('Problem Tracker'!$C:$C,"String",'Problem Tracker'!$D:$D,"Palindrome",'Problem Tracker'!$E:$E,"Palindrome Construction")</f>
        <v>3</v>
      </c>
      <c r="J29" s="24" t="n">
        <f aca="false">COUNTIFS('Problem Tracker'!$C:$C,"String",'Problem Tracker'!$D:$D,"Palindrome",'Problem Tracker'!$E:$E,"Palindrome Construction",'Problem Tracker'!$H:$H,"Easy")</f>
        <v>1</v>
      </c>
      <c r="K29" s="25" t="n">
        <f aca="false">COUNTIFS('Problem Tracker'!$C:$C,"String",'Problem Tracker'!$D:$D,"Palindrome",'Problem Tracker'!$E:$E,"Palindrome Construction",'Problem Tracker'!$H:$H,"Medium")</f>
        <v>0</v>
      </c>
      <c r="L29" s="26" t="n">
        <f aca="false">COUNTIFS('Problem Tracker'!$C:$C,"String",'Problem Tracker'!$D:$D,"Palindrome",'Problem Tracker'!$E:$E,"Palindrome Construction",'Problem Tracker'!$H:$H,"Hard")</f>
        <v>2</v>
      </c>
      <c r="M29" s="23" t="n">
        <f aca="false">COUNTIFS('Problem Tracker'!$C:$C,"String",'Problem Tracker'!$D:$D,"Palindrome",'Problem Tracker'!$E:$E,"Palindrome Construction",'Problem Tracker'!$M:$M,"Solved")+COUNTIFS('Problem Tracker'!$C:$C,"String",'Problem Tracker'!$D:$D,"Palindrome",'Problem Tracker'!$E:$E,"Palindrome Construction",'Problem Tracker'!$M:$M,"Mastered")</f>
        <v>0</v>
      </c>
      <c r="N29" s="28" t="n">
        <f aca="false">IF(I29=0,0,M29/I29)</f>
        <v>0</v>
      </c>
    </row>
    <row r="30" customFormat="false" ht="15" hidden="false" customHeight="false" outlineLevel="0" collapsed="false">
      <c r="A30" s="68" t="s">
        <v>24</v>
      </c>
      <c r="B30" s="30" t="s">
        <v>186</v>
      </c>
      <c r="C30" s="69" t="s">
        <v>187</v>
      </c>
      <c r="D30" s="58" t="s">
        <v>92</v>
      </c>
      <c r="E30" s="51" t="s">
        <v>188</v>
      </c>
      <c r="F30" s="51" t="s">
        <v>189</v>
      </c>
      <c r="G30" s="23" t="s">
        <v>99</v>
      </c>
      <c r="H30" s="23" t="s">
        <v>25</v>
      </c>
      <c r="I30" s="23" t="n">
        <f aca="false">COUNTIFS('Problem Tracker'!$C:$C,"String",'Problem Tracker'!$D:$D,"Anagram / Frequency",'Problem Tracker'!$E:$E,"Character Count Comparison")</f>
        <v>6</v>
      </c>
      <c r="J30" s="24" t="n">
        <f aca="false">COUNTIFS('Problem Tracker'!$C:$C,"String",'Problem Tracker'!$D:$D,"Anagram / Frequency",'Problem Tracker'!$E:$E,"Character Count Comparison",'Problem Tracker'!$H:$H,"Easy")</f>
        <v>3</v>
      </c>
      <c r="K30" s="25" t="n">
        <f aca="false">COUNTIFS('Problem Tracker'!$C:$C,"String",'Problem Tracker'!$D:$D,"Anagram / Frequency",'Problem Tracker'!$E:$E,"Character Count Comparison",'Problem Tracker'!$H:$H,"Medium")</f>
        <v>3</v>
      </c>
      <c r="L30" s="26" t="n">
        <f aca="false">COUNTIFS('Problem Tracker'!$C:$C,"String",'Problem Tracker'!$D:$D,"Anagram / Frequency",'Problem Tracker'!$E:$E,"Character Count Comparison",'Problem Tracker'!$H:$H,"Hard")</f>
        <v>0</v>
      </c>
      <c r="M30" s="23" t="n">
        <f aca="false">COUNTIFS('Problem Tracker'!$C:$C,"String",'Problem Tracker'!$D:$D,"Anagram / Frequency",'Problem Tracker'!$E:$E,"Character Count Comparison",'Problem Tracker'!$M:$M,"Solved")+COUNTIFS('Problem Tracker'!$C:$C,"String",'Problem Tracker'!$D:$D,"Anagram / Frequency",'Problem Tracker'!$E:$E,"Character Count Comparison",'Problem Tracker'!$M:$M,"Mastered")</f>
        <v>0</v>
      </c>
      <c r="N30" s="28" t="n">
        <f aca="false">IF(I30=0,0,M30/I30)</f>
        <v>0</v>
      </c>
    </row>
    <row r="31" customFormat="false" ht="15" hidden="false" customHeight="false" outlineLevel="0" collapsed="false">
      <c r="A31" s="68" t="s">
        <v>24</v>
      </c>
      <c r="B31" s="30" t="s">
        <v>186</v>
      </c>
      <c r="C31" s="69" t="s">
        <v>190</v>
      </c>
      <c r="D31" s="70" t="s">
        <v>9</v>
      </c>
      <c r="E31" s="51" t="s">
        <v>191</v>
      </c>
      <c r="F31" s="51" t="s">
        <v>192</v>
      </c>
      <c r="G31" s="23" t="s">
        <v>99</v>
      </c>
      <c r="H31" s="23" t="s">
        <v>25</v>
      </c>
      <c r="I31" s="23" t="n">
        <f aca="false">COUNTIFS('Problem Tracker'!$C:$C,"String",'Problem Tracker'!$D:$D,"Anagram / Frequency",'Problem Tracker'!$E:$E,"Bijection / Mapping")</f>
        <v>3</v>
      </c>
      <c r="J31" s="24" t="n">
        <f aca="false">COUNTIFS('Problem Tracker'!$C:$C,"String",'Problem Tracker'!$D:$D,"Anagram / Frequency",'Problem Tracker'!$E:$E,"Bijection / Mapping",'Problem Tracker'!$H:$H,"Easy")</f>
        <v>2</v>
      </c>
      <c r="K31" s="25" t="n">
        <f aca="false">COUNTIFS('Problem Tracker'!$C:$C,"String",'Problem Tracker'!$D:$D,"Anagram / Frequency",'Problem Tracker'!$E:$E,"Bijection / Mapping",'Problem Tracker'!$H:$H,"Medium")</f>
        <v>1</v>
      </c>
      <c r="L31" s="26" t="n">
        <f aca="false">COUNTIFS('Problem Tracker'!$C:$C,"String",'Problem Tracker'!$D:$D,"Anagram / Frequency",'Problem Tracker'!$E:$E,"Bijection / Mapping",'Problem Tracker'!$H:$H,"Hard")</f>
        <v>0</v>
      </c>
      <c r="M31" s="23" t="n">
        <f aca="false">COUNTIFS('Problem Tracker'!$C:$C,"String",'Problem Tracker'!$D:$D,"Anagram / Frequency",'Problem Tracker'!$E:$E,"Bijection / Mapping",'Problem Tracker'!$M:$M,"Solved")+COUNTIFS('Problem Tracker'!$C:$C,"String",'Problem Tracker'!$D:$D,"Anagram / Frequency",'Problem Tracker'!$E:$E,"Bijection / Mapping",'Problem Tracker'!$M:$M,"Mastered")</f>
        <v>0</v>
      </c>
      <c r="N31" s="28" t="n">
        <f aca="false">IF(I31=0,0,M31/I31)</f>
        <v>0</v>
      </c>
    </row>
    <row r="32" customFormat="false" ht="15" hidden="false" customHeight="false" outlineLevel="0" collapsed="false">
      <c r="A32" s="68" t="s">
        <v>24</v>
      </c>
      <c r="B32" s="30" t="s">
        <v>193</v>
      </c>
      <c r="C32" s="69" t="s">
        <v>194</v>
      </c>
      <c r="D32" s="59" t="s">
        <v>101</v>
      </c>
      <c r="E32" s="51" t="s">
        <v>195</v>
      </c>
      <c r="F32" s="51" t="s">
        <v>196</v>
      </c>
      <c r="G32" s="23" t="s">
        <v>197</v>
      </c>
      <c r="H32" s="23" t="s">
        <v>25</v>
      </c>
      <c r="I32" s="23" t="n">
        <f aca="false">COUNTIFS('Problem Tracker'!$C:$C,"String",'Problem Tracker'!$D:$D,"Pattern Matching",'Problem Tracker'!$E:$E,"KMP (Prefix Function)")</f>
        <v>3</v>
      </c>
      <c r="J32" s="24" t="n">
        <f aca="false">COUNTIFS('Problem Tracker'!$C:$C,"String",'Problem Tracker'!$D:$D,"Pattern Matching",'Problem Tracker'!$E:$E,"KMP (Prefix Function)",'Problem Tracker'!$H:$H,"Easy")</f>
        <v>2</v>
      </c>
      <c r="K32" s="25" t="n">
        <f aca="false">COUNTIFS('Problem Tracker'!$C:$C,"String",'Problem Tracker'!$D:$D,"Pattern Matching",'Problem Tracker'!$E:$E,"KMP (Prefix Function)",'Problem Tracker'!$H:$H,"Medium")</f>
        <v>0</v>
      </c>
      <c r="L32" s="26" t="n">
        <f aca="false">COUNTIFS('Problem Tracker'!$C:$C,"String",'Problem Tracker'!$D:$D,"Pattern Matching",'Problem Tracker'!$E:$E,"KMP (Prefix Function)",'Problem Tracker'!$H:$H,"Hard")</f>
        <v>1</v>
      </c>
      <c r="M32" s="23" t="n">
        <f aca="false">COUNTIFS('Problem Tracker'!$C:$C,"String",'Problem Tracker'!$D:$D,"Pattern Matching",'Problem Tracker'!$E:$E,"KMP (Prefix Function)",'Problem Tracker'!$M:$M,"Solved")+COUNTIFS('Problem Tracker'!$C:$C,"String",'Problem Tracker'!$D:$D,"Pattern Matching",'Problem Tracker'!$E:$E,"KMP (Prefix Function)",'Problem Tracker'!$M:$M,"Mastered")</f>
        <v>0</v>
      </c>
      <c r="N32" s="28" t="n">
        <f aca="false">IF(I32=0,0,M32/I32)</f>
        <v>0</v>
      </c>
    </row>
    <row r="33" customFormat="false" ht="15" hidden="false" customHeight="false" outlineLevel="0" collapsed="false">
      <c r="A33" s="68" t="s">
        <v>24</v>
      </c>
      <c r="B33" s="30" t="s">
        <v>193</v>
      </c>
      <c r="C33" s="69" t="s">
        <v>198</v>
      </c>
      <c r="D33" s="70" t="s">
        <v>9</v>
      </c>
      <c r="E33" s="51" t="s">
        <v>199</v>
      </c>
      <c r="F33" s="51" t="s">
        <v>200</v>
      </c>
      <c r="G33" s="23" t="s">
        <v>201</v>
      </c>
      <c r="H33" s="23" t="s">
        <v>25</v>
      </c>
      <c r="I33" s="23" t="n">
        <f aca="false">COUNTIFS('Problem Tracker'!$C:$C,"String",'Problem Tracker'!$D:$D,"Pattern Matching",'Problem Tracker'!$E:$E,"Rabin–Karp / Rolling Hash")</f>
        <v>3</v>
      </c>
      <c r="J33" s="24" t="n">
        <f aca="false">COUNTIFS('Problem Tracker'!$C:$C,"String",'Problem Tracker'!$D:$D,"Pattern Matching",'Problem Tracker'!$E:$E,"Rabin–Karp / Rolling Hash",'Problem Tracker'!$H:$H,"Easy")</f>
        <v>0</v>
      </c>
      <c r="K33" s="25" t="n">
        <f aca="false">COUNTIFS('Problem Tracker'!$C:$C,"String",'Problem Tracker'!$D:$D,"Pattern Matching",'Problem Tracker'!$E:$E,"Rabin–Karp / Rolling Hash",'Problem Tracker'!$H:$H,"Medium")</f>
        <v>2</v>
      </c>
      <c r="L33" s="26" t="n">
        <f aca="false">COUNTIFS('Problem Tracker'!$C:$C,"String",'Problem Tracker'!$D:$D,"Pattern Matching",'Problem Tracker'!$E:$E,"Rabin–Karp / Rolling Hash",'Problem Tracker'!$H:$H,"Hard")</f>
        <v>1</v>
      </c>
      <c r="M33" s="23" t="n">
        <f aca="false">COUNTIFS('Problem Tracker'!$C:$C,"String",'Problem Tracker'!$D:$D,"Pattern Matching",'Problem Tracker'!$E:$E,"Rabin–Karp / Rolling Hash",'Problem Tracker'!$M:$M,"Solved")+COUNTIFS('Problem Tracker'!$C:$C,"String",'Problem Tracker'!$D:$D,"Pattern Matching",'Problem Tracker'!$E:$E,"Rabin–Karp / Rolling Hash",'Problem Tracker'!$M:$M,"Mastered")</f>
        <v>0</v>
      </c>
      <c r="N33" s="28" t="n">
        <f aca="false">IF(I33=0,0,M33/I33)</f>
        <v>0</v>
      </c>
    </row>
    <row r="34" customFormat="false" ht="15" hidden="false" customHeight="false" outlineLevel="0" collapsed="false">
      <c r="A34" s="68" t="s">
        <v>24</v>
      </c>
      <c r="B34" s="30" t="s">
        <v>193</v>
      </c>
      <c r="C34" s="69" t="s">
        <v>202</v>
      </c>
      <c r="D34" s="70" t="s">
        <v>9</v>
      </c>
      <c r="E34" s="51" t="s">
        <v>203</v>
      </c>
      <c r="F34" s="51" t="s">
        <v>204</v>
      </c>
      <c r="G34" s="23" t="s">
        <v>99</v>
      </c>
      <c r="H34" s="23" t="s">
        <v>25</v>
      </c>
      <c r="I34" s="23" t="n">
        <f aca="false">COUNTIFS('Problem Tracker'!$C:$C,"String",'Problem Tracker'!$D:$D,"Pattern Matching",'Problem Tracker'!$E:$E,"Z-Algorithm")</f>
        <v>1</v>
      </c>
      <c r="J34" s="24" t="n">
        <f aca="false">COUNTIFS('Problem Tracker'!$C:$C,"String",'Problem Tracker'!$D:$D,"Pattern Matching",'Problem Tracker'!$E:$E,"Z-Algorithm",'Problem Tracker'!$H:$H,"Easy")</f>
        <v>0</v>
      </c>
      <c r="K34" s="25" t="n">
        <f aca="false">COUNTIFS('Problem Tracker'!$C:$C,"String",'Problem Tracker'!$D:$D,"Pattern Matching",'Problem Tracker'!$E:$E,"Z-Algorithm",'Problem Tracker'!$H:$H,"Medium")</f>
        <v>0</v>
      </c>
      <c r="L34" s="26" t="n">
        <f aca="false">COUNTIFS('Problem Tracker'!$C:$C,"String",'Problem Tracker'!$D:$D,"Pattern Matching",'Problem Tracker'!$E:$E,"Z-Algorithm",'Problem Tracker'!$H:$H,"Hard")</f>
        <v>1</v>
      </c>
      <c r="M34" s="23" t="n">
        <f aca="false">COUNTIFS('Problem Tracker'!$C:$C,"String",'Problem Tracker'!$D:$D,"Pattern Matching",'Problem Tracker'!$E:$E,"Z-Algorithm",'Problem Tracker'!$M:$M,"Solved")+COUNTIFS('Problem Tracker'!$C:$C,"String",'Problem Tracker'!$D:$D,"Pattern Matching",'Problem Tracker'!$E:$E,"Z-Algorithm",'Problem Tracker'!$M:$M,"Mastered")</f>
        <v>0</v>
      </c>
      <c r="N34" s="28" t="n">
        <f aca="false">IF(I34=0,0,M34/I34)</f>
        <v>0</v>
      </c>
    </row>
    <row r="35" customFormat="false" ht="15" hidden="false" customHeight="false" outlineLevel="0" collapsed="false">
      <c r="A35" s="68" t="s">
        <v>24</v>
      </c>
      <c r="B35" s="30" t="s">
        <v>205</v>
      </c>
      <c r="C35" s="69" t="s">
        <v>206</v>
      </c>
      <c r="D35" s="59" t="s">
        <v>101</v>
      </c>
      <c r="E35" s="51" t="s">
        <v>207</v>
      </c>
      <c r="F35" s="51" t="s">
        <v>208</v>
      </c>
      <c r="G35" s="23" t="s">
        <v>99</v>
      </c>
      <c r="H35" s="23" t="s">
        <v>25</v>
      </c>
      <c r="I35" s="23" t="n">
        <f aca="false">COUNTIFS('Problem Tracker'!$C:$C,"String",'Problem Tracker'!$D:$D,"Parsing &amp; Simulation",'Problem Tracker'!$E:$E,"String Parsing / Conversion")</f>
        <v>7</v>
      </c>
      <c r="J35" s="24" t="n">
        <f aca="false">COUNTIFS('Problem Tracker'!$C:$C,"String",'Problem Tracker'!$D:$D,"Parsing &amp; Simulation",'Problem Tracker'!$E:$E,"String Parsing / Conversion",'Problem Tracker'!$H:$H,"Easy")</f>
        <v>3</v>
      </c>
      <c r="K35" s="25" t="n">
        <f aca="false">COUNTIFS('Problem Tracker'!$C:$C,"String",'Problem Tracker'!$D:$D,"Parsing &amp; Simulation",'Problem Tracker'!$E:$E,"String Parsing / Conversion",'Problem Tracker'!$H:$H,"Medium")</f>
        <v>4</v>
      </c>
      <c r="L35" s="26" t="n">
        <f aca="false">COUNTIFS('Problem Tracker'!$C:$C,"String",'Problem Tracker'!$D:$D,"Parsing &amp; Simulation",'Problem Tracker'!$E:$E,"String Parsing / Conversion",'Problem Tracker'!$H:$H,"Hard")</f>
        <v>0</v>
      </c>
      <c r="M35" s="23" t="n">
        <f aca="false">COUNTIFS('Problem Tracker'!$C:$C,"String",'Problem Tracker'!$D:$D,"Parsing &amp; Simulation",'Problem Tracker'!$E:$E,"String Parsing / Conversion",'Problem Tracker'!$M:$M,"Solved")+COUNTIFS('Problem Tracker'!$C:$C,"String",'Problem Tracker'!$D:$D,"Parsing &amp; Simulation",'Problem Tracker'!$E:$E,"String Parsing / Conversion",'Problem Tracker'!$M:$M,"Mastered")</f>
        <v>0</v>
      </c>
      <c r="N35" s="28" t="n">
        <f aca="false">IF(I35=0,0,M35/I35)</f>
        <v>0</v>
      </c>
    </row>
    <row r="36" customFormat="false" ht="15" hidden="false" customHeight="false" outlineLevel="0" collapsed="false">
      <c r="A36" s="68" t="s">
        <v>24</v>
      </c>
      <c r="B36" s="30" t="s">
        <v>205</v>
      </c>
      <c r="C36" s="69" t="s">
        <v>209</v>
      </c>
      <c r="D36" s="59" t="s">
        <v>101</v>
      </c>
      <c r="E36" s="51" t="s">
        <v>210</v>
      </c>
      <c r="F36" s="51" t="s">
        <v>211</v>
      </c>
      <c r="G36" s="23" t="s">
        <v>212</v>
      </c>
      <c r="H36" s="23" t="s">
        <v>25</v>
      </c>
      <c r="I36" s="23" t="n">
        <f aca="false">COUNTIFS('Problem Tracker'!$C:$C,"String",'Problem Tracker'!$D:$D,"Parsing &amp; Simulation",'Problem Tracker'!$E:$E,"String Building / Encoding")</f>
        <v>4</v>
      </c>
      <c r="J36" s="24" t="n">
        <f aca="false">COUNTIFS('Problem Tracker'!$C:$C,"String",'Problem Tracker'!$D:$D,"Parsing &amp; Simulation",'Problem Tracker'!$E:$E,"String Building / Encoding",'Problem Tracker'!$H:$H,"Easy")</f>
        <v>0</v>
      </c>
      <c r="K36" s="25" t="n">
        <f aca="false">COUNTIFS('Problem Tracker'!$C:$C,"String",'Problem Tracker'!$D:$D,"Parsing &amp; Simulation",'Problem Tracker'!$E:$E,"String Building / Encoding",'Problem Tracker'!$H:$H,"Medium")</f>
        <v>3</v>
      </c>
      <c r="L36" s="26" t="n">
        <f aca="false">COUNTIFS('Problem Tracker'!$C:$C,"String",'Problem Tracker'!$D:$D,"Parsing &amp; Simulation",'Problem Tracker'!$E:$E,"String Building / Encoding",'Problem Tracker'!$H:$H,"Hard")</f>
        <v>1</v>
      </c>
      <c r="M36" s="23" t="n">
        <f aca="false">COUNTIFS('Problem Tracker'!$C:$C,"String",'Problem Tracker'!$D:$D,"Parsing &amp; Simulation",'Problem Tracker'!$E:$E,"String Building / Encoding",'Problem Tracker'!$M:$M,"Solved")+COUNTIFS('Problem Tracker'!$C:$C,"String",'Problem Tracker'!$D:$D,"Parsing &amp; Simulation",'Problem Tracker'!$E:$E,"String Building / Encoding",'Problem Tracker'!$M:$M,"Mastered")</f>
        <v>0</v>
      </c>
      <c r="N36" s="28" t="n">
        <f aca="false">IF(I36=0,0,M36/I36)</f>
        <v>0</v>
      </c>
    </row>
    <row r="37" customFormat="false" ht="26.85" hidden="false" customHeight="false" outlineLevel="0" collapsed="false">
      <c r="A37" s="71" t="s">
        <v>213</v>
      </c>
      <c r="B37" s="72"/>
      <c r="C37" s="72"/>
      <c r="D37" s="72"/>
      <c r="E37" s="72"/>
      <c r="F37" s="72"/>
      <c r="G37" s="72"/>
      <c r="H37" s="72"/>
      <c r="I37" s="72" t="n">
        <f aca="false">COUNTIF('Problem Tracker'!$C:$C,"Matrix (2D Array)")</f>
        <v>8</v>
      </c>
      <c r="J37" s="72"/>
      <c r="K37" s="72"/>
      <c r="L37" s="72"/>
      <c r="M37" s="72" t="n">
        <f aca="false">COUNTIFS('Problem Tracker'!$C:$C,"Matrix (2D Array)",'Problem Tracker'!$M:$M,"Solved")+COUNTIFS('Problem Tracker'!$C:$C,"Matrix (2D Array)",'Problem Tracker'!$M:$M,"Mastered")</f>
        <v>0</v>
      </c>
      <c r="N37" s="73" t="n">
        <f aca="false">IF(I37=0,0,M37/I37)</f>
        <v>0</v>
      </c>
    </row>
    <row r="38" customFormat="false" ht="15" hidden="false" customHeight="false" outlineLevel="0" collapsed="false">
      <c r="A38" s="74" t="s">
        <v>26</v>
      </c>
      <c r="B38" s="31" t="s">
        <v>214</v>
      </c>
      <c r="C38" s="75" t="s">
        <v>215</v>
      </c>
      <c r="D38" s="58" t="s">
        <v>92</v>
      </c>
      <c r="E38" s="51" t="s">
        <v>216</v>
      </c>
      <c r="F38" s="51" t="s">
        <v>217</v>
      </c>
      <c r="G38" s="23" t="s">
        <v>218</v>
      </c>
      <c r="H38" s="23" t="s">
        <v>25</v>
      </c>
      <c r="I38" s="23" t="n">
        <f aca="false">COUNTIFS('Problem Tracker'!$C:$C,"Matrix (2D Array)",'Problem Tracker'!$D:$D,"Matrix Manipulation",'Problem Tracker'!$E:$E,"Traversal Order (Spiral / Diagonal)")</f>
        <v>3</v>
      </c>
      <c r="J38" s="24" t="n">
        <f aca="false">COUNTIFS('Problem Tracker'!$C:$C,"Matrix (2D Array)",'Problem Tracker'!$D:$D,"Matrix Manipulation",'Problem Tracker'!$E:$E,"Traversal Order (Spiral / Diagonal)",'Problem Tracker'!$H:$H,"Easy")</f>
        <v>0</v>
      </c>
      <c r="K38" s="25" t="n">
        <f aca="false">COUNTIFS('Problem Tracker'!$C:$C,"Matrix (2D Array)",'Problem Tracker'!$D:$D,"Matrix Manipulation",'Problem Tracker'!$E:$E,"Traversal Order (Spiral / Diagonal)",'Problem Tracker'!$H:$H,"Medium")</f>
        <v>3</v>
      </c>
      <c r="L38" s="26" t="n">
        <f aca="false">COUNTIFS('Problem Tracker'!$C:$C,"Matrix (2D Array)",'Problem Tracker'!$D:$D,"Matrix Manipulation",'Problem Tracker'!$E:$E,"Traversal Order (Spiral / Diagonal)",'Problem Tracker'!$H:$H,"Hard")</f>
        <v>0</v>
      </c>
      <c r="M38" s="23" t="n">
        <f aca="false">COUNTIFS('Problem Tracker'!$C:$C,"Matrix (2D Array)",'Problem Tracker'!$D:$D,"Matrix Manipulation",'Problem Tracker'!$E:$E,"Traversal Order (Spiral / Diagonal)",'Problem Tracker'!$M:$M,"Solved")+COUNTIFS('Problem Tracker'!$C:$C,"Matrix (2D Array)",'Problem Tracker'!$D:$D,"Matrix Manipulation",'Problem Tracker'!$E:$E,"Traversal Order (Spiral / Diagonal)",'Problem Tracker'!$M:$M,"Mastered")</f>
        <v>0</v>
      </c>
      <c r="N38" s="28" t="n">
        <f aca="false">IF(I38=0,0,M38/I38)</f>
        <v>0</v>
      </c>
    </row>
    <row r="39" customFormat="false" ht="15" hidden="false" customHeight="false" outlineLevel="0" collapsed="false">
      <c r="A39" s="74" t="s">
        <v>26</v>
      </c>
      <c r="B39" s="31" t="s">
        <v>214</v>
      </c>
      <c r="C39" s="75" t="s">
        <v>219</v>
      </c>
      <c r="D39" s="58" t="s">
        <v>92</v>
      </c>
      <c r="E39" s="51" t="s">
        <v>220</v>
      </c>
      <c r="F39" s="51" t="s">
        <v>221</v>
      </c>
      <c r="G39" s="23" t="s">
        <v>222</v>
      </c>
      <c r="H39" s="23" t="s">
        <v>25</v>
      </c>
      <c r="I39" s="23" t="n">
        <f aca="false">COUNTIFS('Problem Tracker'!$C:$C,"Matrix (2D Array)",'Problem Tracker'!$D:$D,"Matrix Manipulation",'Problem Tracker'!$E:$E,"In-place Transformation")</f>
        <v>5</v>
      </c>
      <c r="J39" s="24" t="n">
        <f aca="false">COUNTIFS('Problem Tracker'!$C:$C,"Matrix (2D Array)",'Problem Tracker'!$D:$D,"Matrix Manipulation",'Problem Tracker'!$E:$E,"In-place Transformation",'Problem Tracker'!$H:$H,"Easy")</f>
        <v>2</v>
      </c>
      <c r="K39" s="25" t="n">
        <f aca="false">COUNTIFS('Problem Tracker'!$C:$C,"Matrix (2D Array)",'Problem Tracker'!$D:$D,"Matrix Manipulation",'Problem Tracker'!$E:$E,"In-place Transformation",'Problem Tracker'!$H:$H,"Medium")</f>
        <v>3</v>
      </c>
      <c r="L39" s="26" t="n">
        <f aca="false">COUNTIFS('Problem Tracker'!$C:$C,"Matrix (2D Array)",'Problem Tracker'!$D:$D,"Matrix Manipulation",'Problem Tracker'!$E:$E,"In-place Transformation",'Problem Tracker'!$H:$H,"Hard")</f>
        <v>0</v>
      </c>
      <c r="M39" s="23" t="n">
        <f aca="false">COUNTIFS('Problem Tracker'!$C:$C,"Matrix (2D Array)",'Problem Tracker'!$D:$D,"Matrix Manipulation",'Problem Tracker'!$E:$E,"In-place Transformation",'Problem Tracker'!$M:$M,"Solved")+COUNTIFS('Problem Tracker'!$C:$C,"Matrix (2D Array)",'Problem Tracker'!$D:$D,"Matrix Manipulation",'Problem Tracker'!$E:$E,"In-place Transformation",'Problem Tracker'!$M:$M,"Mastered")</f>
        <v>0</v>
      </c>
      <c r="N39" s="28" t="n">
        <f aca="false">IF(I39=0,0,M39/I39)</f>
        <v>0</v>
      </c>
    </row>
    <row r="40" customFormat="false" ht="15" hidden="false" customHeight="false" outlineLevel="0" collapsed="false">
      <c r="A40" s="76" t="s">
        <v>223</v>
      </c>
      <c r="B40" s="77"/>
      <c r="C40" s="77"/>
      <c r="D40" s="77"/>
      <c r="E40" s="77"/>
      <c r="F40" s="77"/>
      <c r="G40" s="77"/>
      <c r="H40" s="77"/>
      <c r="I40" s="77" t="n">
        <f aca="false">COUNTIF('Problem Tracker'!$C:$C,"Stack")</f>
        <v>29</v>
      </c>
      <c r="J40" s="77"/>
      <c r="K40" s="77"/>
      <c r="L40" s="77"/>
      <c r="M40" s="77" t="n">
        <f aca="false">COUNTIFS('Problem Tracker'!$C:$C,"Stack",'Problem Tracker'!$M:$M,"Solved")+COUNTIFS('Problem Tracker'!$C:$C,"Stack",'Problem Tracker'!$M:$M,"Mastered")</f>
        <v>0</v>
      </c>
      <c r="N40" s="78" t="n">
        <f aca="false">IF(I40=0,0,M40/I40)</f>
        <v>0</v>
      </c>
    </row>
    <row r="41" customFormat="false" ht="15" hidden="false" customHeight="false" outlineLevel="0" collapsed="false">
      <c r="A41" s="79" t="s">
        <v>27</v>
      </c>
      <c r="B41" s="32" t="s">
        <v>224</v>
      </c>
      <c r="C41" s="80" t="s">
        <v>225</v>
      </c>
      <c r="D41" s="58" t="s">
        <v>92</v>
      </c>
      <c r="E41" s="51" t="s">
        <v>226</v>
      </c>
      <c r="F41" s="51" t="s">
        <v>227</v>
      </c>
      <c r="G41" s="23" t="s">
        <v>99</v>
      </c>
      <c r="H41" s="23" t="s">
        <v>28</v>
      </c>
      <c r="I41" s="23" t="n">
        <f aca="false">COUNTIFS('Problem Tracker'!$C:$C,"Stack",'Problem Tracker'!$D:$D,"Classic Stack",'Problem Tracker'!$E:$E,"Matching / Balanced Brackets")</f>
        <v>6</v>
      </c>
      <c r="J41" s="24" t="n">
        <f aca="false">COUNTIFS('Problem Tracker'!$C:$C,"Stack",'Problem Tracker'!$D:$D,"Classic Stack",'Problem Tracker'!$E:$E,"Matching / Balanced Brackets",'Problem Tracker'!$H:$H,"Easy")</f>
        <v>2</v>
      </c>
      <c r="K41" s="25" t="n">
        <f aca="false">COUNTIFS('Problem Tracker'!$C:$C,"Stack",'Problem Tracker'!$D:$D,"Classic Stack",'Problem Tracker'!$E:$E,"Matching / Balanced Brackets",'Problem Tracker'!$H:$H,"Medium")</f>
        <v>3</v>
      </c>
      <c r="L41" s="26" t="n">
        <f aca="false">COUNTIFS('Problem Tracker'!$C:$C,"Stack",'Problem Tracker'!$D:$D,"Classic Stack",'Problem Tracker'!$E:$E,"Matching / Balanced Brackets",'Problem Tracker'!$H:$H,"Hard")</f>
        <v>1</v>
      </c>
      <c r="M41" s="23" t="n">
        <f aca="false">COUNTIFS('Problem Tracker'!$C:$C,"Stack",'Problem Tracker'!$D:$D,"Classic Stack",'Problem Tracker'!$E:$E,"Matching / Balanced Brackets",'Problem Tracker'!$M:$M,"Solved")+COUNTIFS('Problem Tracker'!$C:$C,"Stack",'Problem Tracker'!$D:$D,"Classic Stack",'Problem Tracker'!$E:$E,"Matching / Balanced Brackets",'Problem Tracker'!$M:$M,"Mastered")</f>
        <v>0</v>
      </c>
      <c r="N41" s="28" t="n">
        <f aca="false">IF(I41=0,0,M41/I41)</f>
        <v>0</v>
      </c>
    </row>
    <row r="42" customFormat="false" ht="23.85" hidden="false" customHeight="false" outlineLevel="0" collapsed="false">
      <c r="A42" s="79" t="s">
        <v>27</v>
      </c>
      <c r="B42" s="32" t="s">
        <v>224</v>
      </c>
      <c r="C42" s="80" t="s">
        <v>228</v>
      </c>
      <c r="D42" s="59" t="s">
        <v>101</v>
      </c>
      <c r="E42" s="51" t="s">
        <v>229</v>
      </c>
      <c r="F42" s="51" t="s">
        <v>230</v>
      </c>
      <c r="G42" s="23" t="s">
        <v>99</v>
      </c>
      <c r="H42" s="23" t="s">
        <v>28</v>
      </c>
      <c r="I42" s="23" t="n">
        <f aca="false">COUNTIFS('Problem Tracker'!$C:$C,"Stack",'Problem Tracker'!$D:$D,"Classic Stack",'Problem Tracker'!$E:$E,"Stack Simulation")</f>
        <v>3</v>
      </c>
      <c r="J42" s="24" t="n">
        <f aca="false">COUNTIFS('Problem Tracker'!$C:$C,"Stack",'Problem Tracker'!$D:$D,"Classic Stack",'Problem Tracker'!$E:$E,"Stack Simulation",'Problem Tracker'!$H:$H,"Easy")</f>
        <v>0</v>
      </c>
      <c r="K42" s="25" t="n">
        <f aca="false">COUNTIFS('Problem Tracker'!$C:$C,"Stack",'Problem Tracker'!$D:$D,"Classic Stack",'Problem Tracker'!$E:$E,"Stack Simulation",'Problem Tracker'!$H:$H,"Medium")</f>
        <v>3</v>
      </c>
      <c r="L42" s="26" t="n">
        <f aca="false">COUNTIFS('Problem Tracker'!$C:$C,"Stack",'Problem Tracker'!$D:$D,"Classic Stack",'Problem Tracker'!$E:$E,"Stack Simulation",'Problem Tracker'!$H:$H,"Hard")</f>
        <v>0</v>
      </c>
      <c r="M42" s="23" t="n">
        <f aca="false">COUNTIFS('Problem Tracker'!$C:$C,"Stack",'Problem Tracker'!$D:$D,"Classic Stack",'Problem Tracker'!$E:$E,"Stack Simulation",'Problem Tracker'!$M:$M,"Solved")+COUNTIFS('Problem Tracker'!$C:$C,"Stack",'Problem Tracker'!$D:$D,"Classic Stack",'Problem Tracker'!$E:$E,"Stack Simulation",'Problem Tracker'!$M:$M,"Mastered")</f>
        <v>0</v>
      </c>
      <c r="N42" s="28" t="n">
        <f aca="false">IF(I42=0,0,M42/I42)</f>
        <v>0</v>
      </c>
    </row>
    <row r="43" customFormat="false" ht="23.85" hidden="false" customHeight="false" outlineLevel="0" collapsed="false">
      <c r="A43" s="79" t="s">
        <v>27</v>
      </c>
      <c r="B43" s="32" t="s">
        <v>224</v>
      </c>
      <c r="C43" s="80" t="s">
        <v>231</v>
      </c>
      <c r="D43" s="58" t="s">
        <v>92</v>
      </c>
      <c r="E43" s="51" t="s">
        <v>232</v>
      </c>
      <c r="F43" s="51" t="s">
        <v>233</v>
      </c>
      <c r="G43" s="23" t="s">
        <v>99</v>
      </c>
      <c r="H43" s="23" t="s">
        <v>28</v>
      </c>
      <c r="I43" s="23" t="n">
        <f aca="false">COUNTIFS('Problem Tracker'!$C:$C,"Stack",'Problem Tracker'!$D:$D,"Classic Stack",'Problem Tracker'!$E:$E,"Expression Evaluation / Nested Decoding")</f>
        <v>5</v>
      </c>
      <c r="J43" s="24" t="n">
        <f aca="false">COUNTIFS('Problem Tracker'!$C:$C,"Stack",'Problem Tracker'!$D:$D,"Classic Stack",'Problem Tracker'!$E:$E,"Expression Evaluation / Nested Decoding",'Problem Tracker'!$H:$H,"Easy")</f>
        <v>0</v>
      </c>
      <c r="K43" s="25" t="n">
        <f aca="false">COUNTIFS('Problem Tracker'!$C:$C,"Stack",'Problem Tracker'!$D:$D,"Classic Stack",'Problem Tracker'!$E:$E,"Expression Evaluation / Nested Decoding",'Problem Tracker'!$H:$H,"Medium")</f>
        <v>4</v>
      </c>
      <c r="L43" s="26" t="n">
        <f aca="false">COUNTIFS('Problem Tracker'!$C:$C,"Stack",'Problem Tracker'!$D:$D,"Classic Stack",'Problem Tracker'!$E:$E,"Expression Evaluation / Nested Decoding",'Problem Tracker'!$H:$H,"Hard")</f>
        <v>1</v>
      </c>
      <c r="M43" s="23" t="n">
        <f aca="false">COUNTIFS('Problem Tracker'!$C:$C,"Stack",'Problem Tracker'!$D:$D,"Classic Stack",'Problem Tracker'!$E:$E,"Expression Evaluation / Nested Decoding",'Problem Tracker'!$M:$M,"Solved")+COUNTIFS('Problem Tracker'!$C:$C,"Stack",'Problem Tracker'!$D:$D,"Classic Stack",'Problem Tracker'!$E:$E,"Expression Evaluation / Nested Decoding",'Problem Tracker'!$M:$M,"Mastered")</f>
        <v>0</v>
      </c>
      <c r="N43" s="28" t="n">
        <f aca="false">IF(I43=0,0,M43/I43)</f>
        <v>0</v>
      </c>
    </row>
    <row r="44" customFormat="false" ht="23.85" hidden="false" customHeight="false" outlineLevel="0" collapsed="false">
      <c r="A44" s="79" t="s">
        <v>27</v>
      </c>
      <c r="B44" s="32" t="s">
        <v>234</v>
      </c>
      <c r="C44" s="80" t="s">
        <v>235</v>
      </c>
      <c r="D44" s="58" t="s">
        <v>92</v>
      </c>
      <c r="E44" s="51" t="s">
        <v>236</v>
      </c>
      <c r="F44" s="51" t="s">
        <v>237</v>
      </c>
      <c r="G44" s="23" t="s">
        <v>99</v>
      </c>
      <c r="H44" s="23" t="s">
        <v>28</v>
      </c>
      <c r="I44" s="23" t="n">
        <f aca="false">COUNTIFS('Problem Tracker'!$C:$C,"Stack",'Problem Tracker'!$D:$D,"Monotonic Stack",'Problem Tracker'!$E:$E,"Next Greater / Smaller Element")</f>
        <v>5</v>
      </c>
      <c r="J44" s="24" t="n">
        <f aca="false">COUNTIFS('Problem Tracker'!$C:$C,"Stack",'Problem Tracker'!$D:$D,"Monotonic Stack",'Problem Tracker'!$E:$E,"Next Greater / Smaller Element",'Problem Tracker'!$H:$H,"Easy")</f>
        <v>1</v>
      </c>
      <c r="K44" s="25" t="n">
        <f aca="false">COUNTIFS('Problem Tracker'!$C:$C,"Stack",'Problem Tracker'!$D:$D,"Monotonic Stack",'Problem Tracker'!$E:$E,"Next Greater / Smaller Element",'Problem Tracker'!$H:$H,"Medium")</f>
        <v>4</v>
      </c>
      <c r="L44" s="26" t="n">
        <f aca="false">COUNTIFS('Problem Tracker'!$C:$C,"Stack",'Problem Tracker'!$D:$D,"Monotonic Stack",'Problem Tracker'!$E:$E,"Next Greater / Smaller Element",'Problem Tracker'!$H:$H,"Hard")</f>
        <v>0</v>
      </c>
      <c r="M44" s="23" t="n">
        <f aca="false">COUNTIFS('Problem Tracker'!$C:$C,"Stack",'Problem Tracker'!$D:$D,"Monotonic Stack",'Problem Tracker'!$E:$E,"Next Greater / Smaller Element",'Problem Tracker'!$M:$M,"Solved")+COUNTIFS('Problem Tracker'!$C:$C,"Stack",'Problem Tracker'!$D:$D,"Monotonic Stack",'Problem Tracker'!$E:$E,"Next Greater / Smaller Element",'Problem Tracker'!$M:$M,"Mastered")</f>
        <v>0</v>
      </c>
      <c r="N44" s="28" t="n">
        <f aca="false">IF(I44=0,0,M44/I44)</f>
        <v>0</v>
      </c>
    </row>
    <row r="45" customFormat="false" ht="15" hidden="false" customHeight="false" outlineLevel="0" collapsed="false">
      <c r="A45" s="79" t="s">
        <v>27</v>
      </c>
      <c r="B45" s="32" t="s">
        <v>234</v>
      </c>
      <c r="C45" s="80" t="s">
        <v>238</v>
      </c>
      <c r="D45" s="58" t="s">
        <v>92</v>
      </c>
      <c r="E45" s="51" t="s">
        <v>239</v>
      </c>
      <c r="F45" s="51" t="s">
        <v>240</v>
      </c>
      <c r="G45" s="23" t="s">
        <v>99</v>
      </c>
      <c r="H45" s="23" t="s">
        <v>28</v>
      </c>
      <c r="I45" s="23" t="n">
        <f aca="false">COUNTIFS('Problem Tracker'!$C:$C,"Stack",'Problem Tracker'!$D:$D,"Monotonic Stack",'Problem Tracker'!$E:$E,"Histogram / Max Rectangle")</f>
        <v>2</v>
      </c>
      <c r="J45" s="24" t="n">
        <f aca="false">COUNTIFS('Problem Tracker'!$C:$C,"Stack",'Problem Tracker'!$D:$D,"Monotonic Stack",'Problem Tracker'!$E:$E,"Histogram / Max Rectangle",'Problem Tracker'!$H:$H,"Easy")</f>
        <v>0</v>
      </c>
      <c r="K45" s="25" t="n">
        <f aca="false">COUNTIFS('Problem Tracker'!$C:$C,"Stack",'Problem Tracker'!$D:$D,"Monotonic Stack",'Problem Tracker'!$E:$E,"Histogram / Max Rectangle",'Problem Tracker'!$H:$H,"Medium")</f>
        <v>0</v>
      </c>
      <c r="L45" s="26" t="n">
        <f aca="false">COUNTIFS('Problem Tracker'!$C:$C,"Stack",'Problem Tracker'!$D:$D,"Monotonic Stack",'Problem Tracker'!$E:$E,"Histogram / Max Rectangle",'Problem Tracker'!$H:$H,"Hard")</f>
        <v>2</v>
      </c>
      <c r="M45" s="23" t="n">
        <f aca="false">COUNTIFS('Problem Tracker'!$C:$C,"Stack",'Problem Tracker'!$D:$D,"Monotonic Stack",'Problem Tracker'!$E:$E,"Histogram / Max Rectangle",'Problem Tracker'!$M:$M,"Solved")+COUNTIFS('Problem Tracker'!$C:$C,"Stack",'Problem Tracker'!$D:$D,"Monotonic Stack",'Problem Tracker'!$E:$E,"Histogram / Max Rectangle",'Problem Tracker'!$M:$M,"Mastered")</f>
        <v>0</v>
      </c>
      <c r="N45" s="28" t="n">
        <f aca="false">IF(I45=0,0,M45/I45)</f>
        <v>0</v>
      </c>
    </row>
    <row r="46" customFormat="false" ht="15" hidden="false" customHeight="false" outlineLevel="0" collapsed="false">
      <c r="A46" s="79" t="s">
        <v>27</v>
      </c>
      <c r="B46" s="32" t="s">
        <v>234</v>
      </c>
      <c r="C46" s="80" t="s">
        <v>241</v>
      </c>
      <c r="D46" s="70" t="s">
        <v>9</v>
      </c>
      <c r="E46" s="51" t="s">
        <v>242</v>
      </c>
      <c r="F46" s="51" t="s">
        <v>243</v>
      </c>
      <c r="G46" s="23" t="s">
        <v>99</v>
      </c>
      <c r="H46" s="23" t="s">
        <v>28</v>
      </c>
      <c r="I46" s="23" t="n">
        <f aca="false">COUNTIFS('Problem Tracker'!$C:$C,"Stack",'Problem Tracker'!$D:$D,"Monotonic Stack",'Problem Tracker'!$E:$E,"Contribution Technique")</f>
        <v>2</v>
      </c>
      <c r="J46" s="24" t="n">
        <f aca="false">COUNTIFS('Problem Tracker'!$C:$C,"Stack",'Problem Tracker'!$D:$D,"Monotonic Stack",'Problem Tracker'!$E:$E,"Contribution Technique",'Problem Tracker'!$H:$H,"Easy")</f>
        <v>0</v>
      </c>
      <c r="K46" s="25" t="n">
        <f aca="false">COUNTIFS('Problem Tracker'!$C:$C,"Stack",'Problem Tracker'!$D:$D,"Monotonic Stack",'Problem Tracker'!$E:$E,"Contribution Technique",'Problem Tracker'!$H:$H,"Medium")</f>
        <v>2</v>
      </c>
      <c r="L46" s="26" t="n">
        <f aca="false">COUNTIFS('Problem Tracker'!$C:$C,"Stack",'Problem Tracker'!$D:$D,"Monotonic Stack",'Problem Tracker'!$E:$E,"Contribution Technique",'Problem Tracker'!$H:$H,"Hard")</f>
        <v>0</v>
      </c>
      <c r="M46" s="23" t="n">
        <f aca="false">COUNTIFS('Problem Tracker'!$C:$C,"Stack",'Problem Tracker'!$D:$D,"Monotonic Stack",'Problem Tracker'!$E:$E,"Contribution Technique",'Problem Tracker'!$M:$M,"Solved")+COUNTIFS('Problem Tracker'!$C:$C,"Stack",'Problem Tracker'!$D:$D,"Monotonic Stack",'Problem Tracker'!$E:$E,"Contribution Technique",'Problem Tracker'!$M:$M,"Mastered")</f>
        <v>0</v>
      </c>
      <c r="N46" s="28" t="n">
        <f aca="false">IF(I46=0,0,M46/I46)</f>
        <v>0</v>
      </c>
    </row>
    <row r="47" customFormat="false" ht="15" hidden="false" customHeight="false" outlineLevel="0" collapsed="false">
      <c r="A47" s="79" t="s">
        <v>27</v>
      </c>
      <c r="B47" s="32" t="s">
        <v>234</v>
      </c>
      <c r="C47" s="80" t="s">
        <v>244</v>
      </c>
      <c r="D47" s="59" t="s">
        <v>101</v>
      </c>
      <c r="E47" s="51" t="s">
        <v>245</v>
      </c>
      <c r="F47" s="51" t="s">
        <v>246</v>
      </c>
      <c r="G47" s="23" t="s">
        <v>99</v>
      </c>
      <c r="H47" s="23" t="s">
        <v>28</v>
      </c>
      <c r="I47" s="23" t="n">
        <f aca="false">COUNTIFS('Problem Tracker'!$C:$C,"Stack",'Problem Tracker'!$D:$D,"Monotonic Stack",'Problem Tracker'!$E:$E,"Greedy Removal (Lexicographic)")</f>
        <v>2</v>
      </c>
      <c r="J47" s="24" t="n">
        <f aca="false">COUNTIFS('Problem Tracker'!$C:$C,"Stack",'Problem Tracker'!$D:$D,"Monotonic Stack",'Problem Tracker'!$E:$E,"Greedy Removal (Lexicographic)",'Problem Tracker'!$H:$H,"Easy")</f>
        <v>0</v>
      </c>
      <c r="K47" s="25" t="n">
        <f aca="false">COUNTIFS('Problem Tracker'!$C:$C,"Stack",'Problem Tracker'!$D:$D,"Monotonic Stack",'Problem Tracker'!$E:$E,"Greedy Removal (Lexicographic)",'Problem Tracker'!$H:$H,"Medium")</f>
        <v>2</v>
      </c>
      <c r="L47" s="26" t="n">
        <f aca="false">COUNTIFS('Problem Tracker'!$C:$C,"Stack",'Problem Tracker'!$D:$D,"Monotonic Stack",'Problem Tracker'!$E:$E,"Greedy Removal (Lexicographic)",'Problem Tracker'!$H:$H,"Hard")</f>
        <v>0</v>
      </c>
      <c r="M47" s="23" t="n">
        <f aca="false">COUNTIFS('Problem Tracker'!$C:$C,"Stack",'Problem Tracker'!$D:$D,"Monotonic Stack",'Problem Tracker'!$E:$E,"Greedy Removal (Lexicographic)",'Problem Tracker'!$M:$M,"Solved")+COUNTIFS('Problem Tracker'!$C:$C,"Stack",'Problem Tracker'!$D:$D,"Monotonic Stack",'Problem Tracker'!$E:$E,"Greedy Removal (Lexicographic)",'Problem Tracker'!$M:$M,"Mastered")</f>
        <v>0</v>
      </c>
      <c r="N47" s="28" t="n">
        <f aca="false">IF(I47=0,0,M47/I47)</f>
        <v>0</v>
      </c>
    </row>
    <row r="48" customFormat="false" ht="15" hidden="false" customHeight="false" outlineLevel="0" collapsed="false">
      <c r="A48" s="79" t="s">
        <v>27</v>
      </c>
      <c r="B48" s="32" t="s">
        <v>247</v>
      </c>
      <c r="C48" s="80" t="s">
        <v>248</v>
      </c>
      <c r="D48" s="58" t="s">
        <v>92</v>
      </c>
      <c r="E48" s="51" t="s">
        <v>249</v>
      </c>
      <c r="F48" s="51" t="s">
        <v>250</v>
      </c>
      <c r="G48" s="23" t="s">
        <v>251</v>
      </c>
      <c r="H48" s="23" t="s">
        <v>28</v>
      </c>
      <c r="I48" s="23" t="n">
        <f aca="false">COUNTIFS('Problem Tracker'!$C:$C,"Stack",'Problem Tracker'!$D:$D,"Stack Design",'Problem Tracker'!$E:$E,"Augmented Stacks")</f>
        <v>4</v>
      </c>
      <c r="J48" s="24" t="n">
        <f aca="false">COUNTIFS('Problem Tracker'!$C:$C,"Stack",'Problem Tracker'!$D:$D,"Stack Design",'Problem Tracker'!$E:$E,"Augmented Stacks",'Problem Tracker'!$H:$H,"Easy")</f>
        <v>2</v>
      </c>
      <c r="K48" s="25" t="n">
        <f aca="false">COUNTIFS('Problem Tracker'!$C:$C,"Stack",'Problem Tracker'!$D:$D,"Stack Design",'Problem Tracker'!$E:$E,"Augmented Stacks",'Problem Tracker'!$H:$H,"Medium")</f>
        <v>1</v>
      </c>
      <c r="L48" s="26" t="n">
        <f aca="false">COUNTIFS('Problem Tracker'!$C:$C,"Stack",'Problem Tracker'!$D:$D,"Stack Design",'Problem Tracker'!$E:$E,"Augmented Stacks",'Problem Tracker'!$H:$H,"Hard")</f>
        <v>1</v>
      </c>
      <c r="M48" s="23" t="n">
        <f aca="false">COUNTIFS('Problem Tracker'!$C:$C,"Stack",'Problem Tracker'!$D:$D,"Stack Design",'Problem Tracker'!$E:$E,"Augmented Stacks",'Problem Tracker'!$M:$M,"Solved")+COUNTIFS('Problem Tracker'!$C:$C,"Stack",'Problem Tracker'!$D:$D,"Stack Design",'Problem Tracker'!$E:$E,"Augmented Stacks",'Problem Tracker'!$M:$M,"Mastered")</f>
        <v>0</v>
      </c>
      <c r="N48" s="28" t="n">
        <f aca="false">IF(I48=0,0,M48/I48)</f>
        <v>0</v>
      </c>
    </row>
    <row r="49" customFormat="false" ht="15" hidden="false" customHeight="false" outlineLevel="0" collapsed="false">
      <c r="A49" s="81" t="s">
        <v>252</v>
      </c>
      <c r="B49" s="82"/>
      <c r="C49" s="82"/>
      <c r="D49" s="82"/>
      <c r="E49" s="82"/>
      <c r="F49" s="82"/>
      <c r="G49" s="82"/>
      <c r="H49" s="82"/>
      <c r="I49" s="82" t="n">
        <f aca="false">COUNTIF('Problem Tracker'!$C:$C,"Queue / Deque")</f>
        <v>5</v>
      </c>
      <c r="J49" s="82"/>
      <c r="K49" s="82"/>
      <c r="L49" s="82"/>
      <c r="M49" s="82" t="n">
        <f aca="false">COUNTIFS('Problem Tracker'!$C:$C,"Queue / Deque",'Problem Tracker'!$M:$M,"Solved")+COUNTIFS('Problem Tracker'!$C:$C,"Queue / Deque",'Problem Tracker'!$M:$M,"Mastered")</f>
        <v>0</v>
      </c>
      <c r="N49" s="83" t="n">
        <f aca="false">IF(I49=0,0,M49/I49)</f>
        <v>0</v>
      </c>
    </row>
    <row r="50" customFormat="false" ht="23.85" hidden="false" customHeight="false" outlineLevel="0" collapsed="false">
      <c r="A50" s="84" t="s">
        <v>29</v>
      </c>
      <c r="B50" s="33" t="s">
        <v>253</v>
      </c>
      <c r="C50" s="85" t="s">
        <v>254</v>
      </c>
      <c r="D50" s="70" t="s">
        <v>9</v>
      </c>
      <c r="E50" s="51" t="s">
        <v>255</v>
      </c>
      <c r="F50" s="51" t="s">
        <v>256</v>
      </c>
      <c r="G50" s="23" t="s">
        <v>99</v>
      </c>
      <c r="H50" s="23" t="s">
        <v>28</v>
      </c>
      <c r="I50" s="23" t="n">
        <f aca="false">COUNTIFS('Problem Tracker'!$C:$C,"Queue / Deque",'Problem Tracker'!$D:$D,"Queue Patterns",'Problem Tracker'!$E:$E,"Queue Simulation")</f>
        <v>3</v>
      </c>
      <c r="J50" s="24" t="n">
        <f aca="false">COUNTIFS('Problem Tracker'!$C:$C,"Queue / Deque",'Problem Tracker'!$D:$D,"Queue Patterns",'Problem Tracker'!$E:$E,"Queue Simulation",'Problem Tracker'!$H:$H,"Easy")</f>
        <v>1</v>
      </c>
      <c r="K50" s="25" t="n">
        <f aca="false">COUNTIFS('Problem Tracker'!$C:$C,"Queue / Deque",'Problem Tracker'!$D:$D,"Queue Patterns",'Problem Tracker'!$E:$E,"Queue Simulation",'Problem Tracker'!$H:$H,"Medium")</f>
        <v>2</v>
      </c>
      <c r="L50" s="26" t="n">
        <f aca="false">COUNTIFS('Problem Tracker'!$C:$C,"Queue / Deque",'Problem Tracker'!$D:$D,"Queue Patterns",'Problem Tracker'!$E:$E,"Queue Simulation",'Problem Tracker'!$H:$H,"Hard")</f>
        <v>0</v>
      </c>
      <c r="M50" s="23" t="n">
        <f aca="false">COUNTIFS('Problem Tracker'!$C:$C,"Queue / Deque",'Problem Tracker'!$D:$D,"Queue Patterns",'Problem Tracker'!$E:$E,"Queue Simulation",'Problem Tracker'!$M:$M,"Solved")+COUNTIFS('Problem Tracker'!$C:$C,"Queue / Deque",'Problem Tracker'!$D:$D,"Queue Patterns",'Problem Tracker'!$E:$E,"Queue Simulation",'Problem Tracker'!$M:$M,"Mastered")</f>
        <v>0</v>
      </c>
      <c r="N50" s="28" t="n">
        <f aca="false">IF(I50=0,0,M50/I50)</f>
        <v>0</v>
      </c>
    </row>
    <row r="51" customFormat="false" ht="15" hidden="false" customHeight="false" outlineLevel="0" collapsed="false">
      <c r="A51" s="84" t="s">
        <v>29</v>
      </c>
      <c r="B51" s="33" t="s">
        <v>253</v>
      </c>
      <c r="C51" s="85" t="s">
        <v>257</v>
      </c>
      <c r="D51" s="59" t="s">
        <v>101</v>
      </c>
      <c r="E51" s="51" t="s">
        <v>258</v>
      </c>
      <c r="F51" s="51" t="s">
        <v>259</v>
      </c>
      <c r="G51" s="23" t="s">
        <v>251</v>
      </c>
      <c r="H51" s="23" t="s">
        <v>28</v>
      </c>
      <c r="I51" s="23" t="n">
        <f aca="false">COUNTIFS('Problem Tracker'!$C:$C,"Queue / Deque",'Problem Tracker'!$D:$D,"Queue Patterns",'Problem Tracker'!$E:$E,"Circular Queue / Deque Design")</f>
        <v>2</v>
      </c>
      <c r="J51" s="24" t="n">
        <f aca="false">COUNTIFS('Problem Tracker'!$C:$C,"Queue / Deque",'Problem Tracker'!$D:$D,"Queue Patterns",'Problem Tracker'!$E:$E,"Circular Queue / Deque Design",'Problem Tracker'!$H:$H,"Easy")</f>
        <v>0</v>
      </c>
      <c r="K51" s="25" t="n">
        <f aca="false">COUNTIFS('Problem Tracker'!$C:$C,"Queue / Deque",'Problem Tracker'!$D:$D,"Queue Patterns",'Problem Tracker'!$E:$E,"Circular Queue / Deque Design",'Problem Tracker'!$H:$H,"Medium")</f>
        <v>2</v>
      </c>
      <c r="L51" s="26" t="n">
        <f aca="false">COUNTIFS('Problem Tracker'!$C:$C,"Queue / Deque",'Problem Tracker'!$D:$D,"Queue Patterns",'Problem Tracker'!$E:$E,"Circular Queue / Deque Design",'Problem Tracker'!$H:$H,"Hard")</f>
        <v>0</v>
      </c>
      <c r="M51" s="23" t="n">
        <f aca="false">COUNTIFS('Problem Tracker'!$C:$C,"Queue / Deque",'Problem Tracker'!$D:$D,"Queue Patterns",'Problem Tracker'!$E:$E,"Circular Queue / Deque Design",'Problem Tracker'!$M:$M,"Solved")+COUNTIFS('Problem Tracker'!$C:$C,"Queue / Deque",'Problem Tracker'!$D:$D,"Queue Patterns",'Problem Tracker'!$E:$E,"Circular Queue / Deque Design",'Problem Tracker'!$M:$M,"Mastered")</f>
        <v>0</v>
      </c>
      <c r="N51" s="28" t="n">
        <f aca="false">IF(I51=0,0,M51/I51)</f>
        <v>0</v>
      </c>
    </row>
    <row r="52" customFormat="false" ht="15" hidden="false" customHeight="false" outlineLevel="0" collapsed="false">
      <c r="A52" s="86" t="s">
        <v>260</v>
      </c>
      <c r="B52" s="87"/>
      <c r="C52" s="87"/>
      <c r="D52" s="87"/>
      <c r="E52" s="87"/>
      <c r="F52" s="87"/>
      <c r="G52" s="87"/>
      <c r="H52" s="87"/>
      <c r="I52" s="87" t="n">
        <f aca="false">COUNTIF('Problem Tracker'!$C:$C,"Binary Search")</f>
        <v>28</v>
      </c>
      <c r="J52" s="87"/>
      <c r="K52" s="87"/>
      <c r="L52" s="87"/>
      <c r="M52" s="87" t="n">
        <f aca="false">COUNTIFS('Problem Tracker'!$C:$C,"Binary Search",'Problem Tracker'!$M:$M,"Solved")+COUNTIFS('Problem Tracker'!$C:$C,"Binary Search",'Problem Tracker'!$M:$M,"Mastered")</f>
        <v>0</v>
      </c>
      <c r="N52" s="88" t="n">
        <f aca="false">IF(I52=0,0,M52/I52)</f>
        <v>0</v>
      </c>
    </row>
    <row r="53" customFormat="false" ht="15" hidden="false" customHeight="false" outlineLevel="0" collapsed="false">
      <c r="A53" s="89" t="s">
        <v>30</v>
      </c>
      <c r="B53" s="34" t="s">
        <v>261</v>
      </c>
      <c r="C53" s="90" t="s">
        <v>262</v>
      </c>
      <c r="D53" s="58" t="s">
        <v>92</v>
      </c>
      <c r="E53" s="51" t="s">
        <v>263</v>
      </c>
      <c r="F53" s="51" t="s">
        <v>264</v>
      </c>
      <c r="G53" s="23" t="s">
        <v>265</v>
      </c>
      <c r="H53" s="23" t="s">
        <v>31</v>
      </c>
      <c r="I53" s="23" t="n">
        <f aca="false">COUNTIFS('Problem Tracker'!$C:$C,"Binary Search",'Problem Tracker'!$D:$D,"Binary Search on Index",'Problem Tracker'!$E:$E,"Classic / Lower–Upper Bound")</f>
        <v>7</v>
      </c>
      <c r="J53" s="24" t="n">
        <f aca="false">COUNTIFS('Problem Tracker'!$C:$C,"Binary Search",'Problem Tracker'!$D:$D,"Binary Search on Index",'Problem Tracker'!$E:$E,"Classic / Lower–Upper Bound",'Problem Tracker'!$H:$H,"Easy")</f>
        <v>5</v>
      </c>
      <c r="K53" s="25" t="n">
        <f aca="false">COUNTIFS('Problem Tracker'!$C:$C,"Binary Search",'Problem Tracker'!$D:$D,"Binary Search on Index",'Problem Tracker'!$E:$E,"Classic / Lower–Upper Bound",'Problem Tracker'!$H:$H,"Medium")</f>
        <v>2</v>
      </c>
      <c r="L53" s="26" t="n">
        <f aca="false">COUNTIFS('Problem Tracker'!$C:$C,"Binary Search",'Problem Tracker'!$D:$D,"Binary Search on Index",'Problem Tracker'!$E:$E,"Classic / Lower–Upper Bound",'Problem Tracker'!$H:$H,"Hard")</f>
        <v>0</v>
      </c>
      <c r="M53" s="23" t="n">
        <f aca="false">COUNTIFS('Problem Tracker'!$C:$C,"Binary Search",'Problem Tracker'!$D:$D,"Binary Search on Index",'Problem Tracker'!$E:$E,"Classic / Lower–Upper Bound",'Problem Tracker'!$M:$M,"Solved")+COUNTIFS('Problem Tracker'!$C:$C,"Binary Search",'Problem Tracker'!$D:$D,"Binary Search on Index",'Problem Tracker'!$E:$E,"Classic / Lower–Upper Bound",'Problem Tracker'!$M:$M,"Mastered")</f>
        <v>0</v>
      </c>
      <c r="N53" s="28" t="n">
        <f aca="false">IF(I53=0,0,M53/I53)</f>
        <v>0</v>
      </c>
    </row>
    <row r="54" customFormat="false" ht="15" hidden="false" customHeight="false" outlineLevel="0" collapsed="false">
      <c r="A54" s="89" t="s">
        <v>30</v>
      </c>
      <c r="B54" s="34" t="s">
        <v>261</v>
      </c>
      <c r="C54" s="90" t="s">
        <v>266</v>
      </c>
      <c r="D54" s="58" t="s">
        <v>92</v>
      </c>
      <c r="E54" s="51" t="s">
        <v>267</v>
      </c>
      <c r="F54" s="51" t="s">
        <v>268</v>
      </c>
      <c r="G54" s="23" t="s">
        <v>265</v>
      </c>
      <c r="H54" s="23" t="s">
        <v>31</v>
      </c>
      <c r="I54" s="23" t="n">
        <f aca="false">COUNTIFS('Problem Tracker'!$C:$C,"Binary Search",'Problem Tracker'!$D:$D,"Binary Search on Index",'Problem Tracker'!$E:$E,"Rotated Sorted Array")</f>
        <v>4</v>
      </c>
      <c r="J54" s="24" t="n">
        <f aca="false">COUNTIFS('Problem Tracker'!$C:$C,"Binary Search",'Problem Tracker'!$D:$D,"Binary Search on Index",'Problem Tracker'!$E:$E,"Rotated Sorted Array",'Problem Tracker'!$H:$H,"Easy")</f>
        <v>0</v>
      </c>
      <c r="K54" s="25" t="n">
        <f aca="false">COUNTIFS('Problem Tracker'!$C:$C,"Binary Search",'Problem Tracker'!$D:$D,"Binary Search on Index",'Problem Tracker'!$E:$E,"Rotated Sorted Array",'Problem Tracker'!$H:$H,"Medium")</f>
        <v>3</v>
      </c>
      <c r="L54" s="26" t="n">
        <f aca="false">COUNTIFS('Problem Tracker'!$C:$C,"Binary Search",'Problem Tracker'!$D:$D,"Binary Search on Index",'Problem Tracker'!$E:$E,"Rotated Sorted Array",'Problem Tracker'!$H:$H,"Hard")</f>
        <v>1</v>
      </c>
      <c r="M54" s="23" t="n">
        <f aca="false">COUNTIFS('Problem Tracker'!$C:$C,"Binary Search",'Problem Tracker'!$D:$D,"Binary Search on Index",'Problem Tracker'!$E:$E,"Rotated Sorted Array",'Problem Tracker'!$M:$M,"Solved")+COUNTIFS('Problem Tracker'!$C:$C,"Binary Search",'Problem Tracker'!$D:$D,"Binary Search on Index",'Problem Tracker'!$E:$E,"Rotated Sorted Array",'Problem Tracker'!$M:$M,"Mastered")</f>
        <v>0</v>
      </c>
      <c r="N54" s="28" t="n">
        <f aca="false">IF(I54=0,0,M54/I54)</f>
        <v>0</v>
      </c>
    </row>
    <row r="55" customFormat="false" ht="15" hidden="false" customHeight="false" outlineLevel="0" collapsed="false">
      <c r="A55" s="89" t="s">
        <v>30</v>
      </c>
      <c r="B55" s="34" t="s">
        <v>261</v>
      </c>
      <c r="C55" s="90" t="s">
        <v>269</v>
      </c>
      <c r="D55" s="59" t="s">
        <v>101</v>
      </c>
      <c r="E55" s="51" t="s">
        <v>270</v>
      </c>
      <c r="F55" s="51" t="s">
        <v>271</v>
      </c>
      <c r="G55" s="23" t="s">
        <v>265</v>
      </c>
      <c r="H55" s="23" t="s">
        <v>31</v>
      </c>
      <c r="I55" s="23" t="n">
        <f aca="false">COUNTIFS('Problem Tracker'!$C:$C,"Binary Search",'Problem Tracker'!$D:$D,"Binary Search on Index",'Problem Tracker'!$E:$E,"Peak / Bitonic")</f>
        <v>4</v>
      </c>
      <c r="J55" s="24" t="n">
        <f aca="false">COUNTIFS('Problem Tracker'!$C:$C,"Binary Search",'Problem Tracker'!$D:$D,"Binary Search on Index",'Problem Tracker'!$E:$E,"Peak / Bitonic",'Problem Tracker'!$H:$H,"Easy")</f>
        <v>0</v>
      </c>
      <c r="K55" s="25" t="n">
        <f aca="false">COUNTIFS('Problem Tracker'!$C:$C,"Binary Search",'Problem Tracker'!$D:$D,"Binary Search on Index",'Problem Tracker'!$E:$E,"Peak / Bitonic",'Problem Tracker'!$H:$H,"Medium")</f>
        <v>3</v>
      </c>
      <c r="L55" s="26" t="n">
        <f aca="false">COUNTIFS('Problem Tracker'!$C:$C,"Binary Search",'Problem Tracker'!$D:$D,"Binary Search on Index",'Problem Tracker'!$E:$E,"Peak / Bitonic",'Problem Tracker'!$H:$H,"Hard")</f>
        <v>1</v>
      </c>
      <c r="M55" s="23" t="n">
        <f aca="false">COUNTIFS('Problem Tracker'!$C:$C,"Binary Search",'Problem Tracker'!$D:$D,"Binary Search on Index",'Problem Tracker'!$E:$E,"Peak / Bitonic",'Problem Tracker'!$M:$M,"Solved")+COUNTIFS('Problem Tracker'!$C:$C,"Binary Search",'Problem Tracker'!$D:$D,"Binary Search on Index",'Problem Tracker'!$E:$E,"Peak / Bitonic",'Problem Tracker'!$M:$M,"Mastered")</f>
        <v>0</v>
      </c>
      <c r="N55" s="28" t="n">
        <f aca="false">IF(I55=0,0,M55/I55)</f>
        <v>0</v>
      </c>
    </row>
    <row r="56" customFormat="false" ht="15" hidden="false" customHeight="false" outlineLevel="0" collapsed="false">
      <c r="A56" s="89" t="s">
        <v>30</v>
      </c>
      <c r="B56" s="34" t="s">
        <v>261</v>
      </c>
      <c r="C56" s="90" t="s">
        <v>272</v>
      </c>
      <c r="D56" s="59" t="s">
        <v>101</v>
      </c>
      <c r="E56" s="51" t="s">
        <v>273</v>
      </c>
      <c r="F56" s="51" t="s">
        <v>274</v>
      </c>
      <c r="G56" s="23" t="s">
        <v>275</v>
      </c>
      <c r="H56" s="23" t="s">
        <v>31</v>
      </c>
      <c r="I56" s="23" t="n">
        <f aca="false">COUNTIFS('Problem Tracker'!$C:$C,"Binary Search",'Problem Tracker'!$D:$D,"Binary Search on Index",'Problem Tracker'!$E:$E,"2D Matrix Search")</f>
        <v>3</v>
      </c>
      <c r="J56" s="24" t="n">
        <f aca="false">COUNTIFS('Problem Tracker'!$C:$C,"Binary Search",'Problem Tracker'!$D:$D,"Binary Search on Index",'Problem Tracker'!$E:$E,"2D Matrix Search",'Problem Tracker'!$H:$H,"Easy")</f>
        <v>0</v>
      </c>
      <c r="K56" s="25" t="n">
        <f aca="false">COUNTIFS('Problem Tracker'!$C:$C,"Binary Search",'Problem Tracker'!$D:$D,"Binary Search on Index",'Problem Tracker'!$E:$E,"2D Matrix Search",'Problem Tracker'!$H:$H,"Medium")</f>
        <v>3</v>
      </c>
      <c r="L56" s="26" t="n">
        <f aca="false">COUNTIFS('Problem Tracker'!$C:$C,"Binary Search",'Problem Tracker'!$D:$D,"Binary Search on Index",'Problem Tracker'!$E:$E,"2D Matrix Search",'Problem Tracker'!$H:$H,"Hard")</f>
        <v>0</v>
      </c>
      <c r="M56" s="23" t="n">
        <f aca="false">COUNTIFS('Problem Tracker'!$C:$C,"Binary Search",'Problem Tracker'!$D:$D,"Binary Search on Index",'Problem Tracker'!$E:$E,"2D Matrix Search",'Problem Tracker'!$M:$M,"Solved")+COUNTIFS('Problem Tracker'!$C:$C,"Binary Search",'Problem Tracker'!$D:$D,"Binary Search on Index",'Problem Tracker'!$E:$E,"2D Matrix Search",'Problem Tracker'!$M:$M,"Mastered")</f>
        <v>0</v>
      </c>
      <c r="N56" s="28" t="n">
        <f aca="false">IF(I56=0,0,M56/I56)</f>
        <v>0</v>
      </c>
    </row>
    <row r="57" customFormat="false" ht="15" hidden="false" customHeight="false" outlineLevel="0" collapsed="false">
      <c r="A57" s="89" t="s">
        <v>30</v>
      </c>
      <c r="B57" s="34" t="s">
        <v>261</v>
      </c>
      <c r="C57" s="90" t="s">
        <v>276</v>
      </c>
      <c r="D57" s="59" t="s">
        <v>101</v>
      </c>
      <c r="E57" s="51" t="s">
        <v>277</v>
      </c>
      <c r="F57" s="51" t="s">
        <v>278</v>
      </c>
      <c r="G57" s="23" t="s">
        <v>265</v>
      </c>
      <c r="H57" s="23" t="s">
        <v>31</v>
      </c>
      <c r="I57" s="23" t="n">
        <f aca="false">COUNTIFS('Problem Tracker'!$C:$C,"Binary Search",'Problem Tracker'!$D:$D,"Binary Search on Index",'Problem Tracker'!$E:$E,"Binary Search with Data Structures")</f>
        <v>2</v>
      </c>
      <c r="J57" s="24" t="n">
        <f aca="false">COUNTIFS('Problem Tracker'!$C:$C,"Binary Search",'Problem Tracker'!$D:$D,"Binary Search on Index",'Problem Tracker'!$E:$E,"Binary Search with Data Structures",'Problem Tracker'!$H:$H,"Easy")</f>
        <v>0</v>
      </c>
      <c r="K57" s="25" t="n">
        <f aca="false">COUNTIFS('Problem Tracker'!$C:$C,"Binary Search",'Problem Tracker'!$D:$D,"Binary Search on Index",'Problem Tracker'!$E:$E,"Binary Search with Data Structures",'Problem Tracker'!$H:$H,"Medium")</f>
        <v>1</v>
      </c>
      <c r="L57" s="26" t="n">
        <f aca="false">COUNTIFS('Problem Tracker'!$C:$C,"Binary Search",'Problem Tracker'!$D:$D,"Binary Search on Index",'Problem Tracker'!$E:$E,"Binary Search with Data Structures",'Problem Tracker'!$H:$H,"Hard")</f>
        <v>1</v>
      </c>
      <c r="M57" s="23" t="n">
        <f aca="false">COUNTIFS('Problem Tracker'!$C:$C,"Binary Search",'Problem Tracker'!$D:$D,"Binary Search on Index",'Problem Tracker'!$E:$E,"Binary Search with Data Structures",'Problem Tracker'!$M:$M,"Solved")+COUNTIFS('Problem Tracker'!$C:$C,"Binary Search",'Problem Tracker'!$D:$D,"Binary Search on Index",'Problem Tracker'!$E:$E,"Binary Search with Data Structures",'Problem Tracker'!$M:$M,"Mastered")</f>
        <v>0</v>
      </c>
      <c r="N57" s="28" t="n">
        <f aca="false">IF(I57=0,0,M57/I57)</f>
        <v>0</v>
      </c>
    </row>
    <row r="58" customFormat="false" ht="23.85" hidden="false" customHeight="false" outlineLevel="0" collapsed="false">
      <c r="A58" s="89" t="s">
        <v>30</v>
      </c>
      <c r="B58" s="34" t="s">
        <v>279</v>
      </c>
      <c r="C58" s="90" t="s">
        <v>280</v>
      </c>
      <c r="D58" s="58" t="s">
        <v>92</v>
      </c>
      <c r="E58" s="51" t="s">
        <v>281</v>
      </c>
      <c r="F58" s="51" t="s">
        <v>282</v>
      </c>
      <c r="G58" s="23" t="s">
        <v>283</v>
      </c>
      <c r="H58" s="23" t="s">
        <v>31</v>
      </c>
      <c r="I58" s="23" t="n">
        <f aca="false">COUNTIFS('Problem Tracker'!$C:$C,"Binary Search",'Problem Tracker'!$D:$D,"Binary Search on Answer",'Problem Tracker'!$E:$E,"Minimize the Maximum / Maximize the Minimum")</f>
        <v>8</v>
      </c>
      <c r="J58" s="24" t="n">
        <f aca="false">COUNTIFS('Problem Tracker'!$C:$C,"Binary Search",'Problem Tracker'!$D:$D,"Binary Search on Answer",'Problem Tracker'!$E:$E,"Minimize the Maximum / Maximize the Minimum",'Problem Tracker'!$H:$H,"Easy")</f>
        <v>0</v>
      </c>
      <c r="K58" s="25" t="n">
        <f aca="false">COUNTIFS('Problem Tracker'!$C:$C,"Binary Search",'Problem Tracker'!$D:$D,"Binary Search on Answer",'Problem Tracker'!$E:$E,"Minimize the Maximum / Maximize the Minimum",'Problem Tracker'!$H:$H,"Medium")</f>
        <v>6</v>
      </c>
      <c r="L58" s="26" t="n">
        <f aca="false">COUNTIFS('Problem Tracker'!$C:$C,"Binary Search",'Problem Tracker'!$D:$D,"Binary Search on Answer",'Problem Tracker'!$E:$E,"Minimize the Maximum / Maximize the Minimum",'Problem Tracker'!$H:$H,"Hard")</f>
        <v>2</v>
      </c>
      <c r="M58" s="23" t="n">
        <f aca="false">COUNTIFS('Problem Tracker'!$C:$C,"Binary Search",'Problem Tracker'!$D:$D,"Binary Search on Answer",'Problem Tracker'!$E:$E,"Minimize the Maximum / Maximize the Minimum",'Problem Tracker'!$M:$M,"Solved")+COUNTIFS('Problem Tracker'!$C:$C,"Binary Search",'Problem Tracker'!$D:$D,"Binary Search on Answer",'Problem Tracker'!$E:$E,"Minimize the Maximum / Maximize the Minimum",'Problem Tracker'!$M:$M,"Mastered")</f>
        <v>0</v>
      </c>
      <c r="N58" s="28" t="n">
        <f aca="false">IF(I58=0,0,M58/I58)</f>
        <v>0</v>
      </c>
    </row>
    <row r="59" customFormat="false" ht="15" hidden="false" customHeight="false" outlineLevel="0" collapsed="false">
      <c r="A59" s="91" t="s">
        <v>284</v>
      </c>
      <c r="B59" s="92"/>
      <c r="C59" s="92"/>
      <c r="D59" s="92"/>
      <c r="E59" s="92"/>
      <c r="F59" s="92"/>
      <c r="G59" s="92"/>
      <c r="H59" s="92"/>
      <c r="I59" s="92" t="n">
        <f aca="false">COUNTIF('Problem Tracker'!$C:$C,"Linked List")</f>
        <v>25</v>
      </c>
      <c r="J59" s="92"/>
      <c r="K59" s="92"/>
      <c r="L59" s="92"/>
      <c r="M59" s="92" t="n">
        <f aca="false">COUNTIFS('Problem Tracker'!$C:$C,"Linked List",'Problem Tracker'!$M:$M,"Solved")+COUNTIFS('Problem Tracker'!$C:$C,"Linked List",'Problem Tracker'!$M:$M,"Mastered")</f>
        <v>0</v>
      </c>
      <c r="N59" s="93" t="n">
        <f aca="false">IF(I59=0,0,M59/I59)</f>
        <v>0</v>
      </c>
    </row>
    <row r="60" customFormat="false" ht="15" hidden="false" customHeight="false" outlineLevel="0" collapsed="false">
      <c r="A60" s="94" t="s">
        <v>32</v>
      </c>
      <c r="B60" s="35" t="s">
        <v>285</v>
      </c>
      <c r="C60" s="95" t="s">
        <v>286</v>
      </c>
      <c r="D60" s="58" t="s">
        <v>92</v>
      </c>
      <c r="E60" s="51" t="s">
        <v>287</v>
      </c>
      <c r="F60" s="51" t="s">
        <v>288</v>
      </c>
      <c r="G60" s="23" t="s">
        <v>124</v>
      </c>
      <c r="H60" s="23" t="s">
        <v>33</v>
      </c>
      <c r="I60" s="23" t="n">
        <f aca="false">COUNTIFS('Problem Tracker'!$C:$C,"Linked List",'Problem Tracker'!$D:$D,"Fast &amp; Slow Pointers",'Problem Tracker'!$E:$E,"Cycle Detection (Floyd)")</f>
        <v>2</v>
      </c>
      <c r="J60" s="24" t="n">
        <f aca="false">COUNTIFS('Problem Tracker'!$C:$C,"Linked List",'Problem Tracker'!$D:$D,"Fast &amp; Slow Pointers",'Problem Tracker'!$E:$E,"Cycle Detection (Floyd)",'Problem Tracker'!$H:$H,"Easy")</f>
        <v>1</v>
      </c>
      <c r="K60" s="25" t="n">
        <f aca="false">COUNTIFS('Problem Tracker'!$C:$C,"Linked List",'Problem Tracker'!$D:$D,"Fast &amp; Slow Pointers",'Problem Tracker'!$E:$E,"Cycle Detection (Floyd)",'Problem Tracker'!$H:$H,"Medium")</f>
        <v>1</v>
      </c>
      <c r="L60" s="26" t="n">
        <f aca="false">COUNTIFS('Problem Tracker'!$C:$C,"Linked List",'Problem Tracker'!$D:$D,"Fast &amp; Slow Pointers",'Problem Tracker'!$E:$E,"Cycle Detection (Floyd)",'Problem Tracker'!$H:$H,"Hard")</f>
        <v>0</v>
      </c>
      <c r="M60" s="23" t="n">
        <f aca="false">COUNTIFS('Problem Tracker'!$C:$C,"Linked List",'Problem Tracker'!$D:$D,"Fast &amp; Slow Pointers",'Problem Tracker'!$E:$E,"Cycle Detection (Floyd)",'Problem Tracker'!$M:$M,"Solved")+COUNTIFS('Problem Tracker'!$C:$C,"Linked List",'Problem Tracker'!$D:$D,"Fast &amp; Slow Pointers",'Problem Tracker'!$E:$E,"Cycle Detection (Floyd)",'Problem Tracker'!$M:$M,"Mastered")</f>
        <v>0</v>
      </c>
      <c r="N60" s="28" t="n">
        <f aca="false">IF(I60=0,0,M60/I60)</f>
        <v>0</v>
      </c>
    </row>
    <row r="61" customFormat="false" ht="15" hidden="false" customHeight="false" outlineLevel="0" collapsed="false">
      <c r="A61" s="94" t="s">
        <v>32</v>
      </c>
      <c r="B61" s="35" t="s">
        <v>285</v>
      </c>
      <c r="C61" s="95" t="s">
        <v>289</v>
      </c>
      <c r="D61" s="58" t="s">
        <v>92</v>
      </c>
      <c r="E61" s="51" t="s">
        <v>290</v>
      </c>
      <c r="F61" s="51" t="s">
        <v>291</v>
      </c>
      <c r="G61" s="23" t="s">
        <v>124</v>
      </c>
      <c r="H61" s="23" t="s">
        <v>33</v>
      </c>
      <c r="I61" s="23" t="n">
        <f aca="false">COUNTIFS('Problem Tracker'!$C:$C,"Linked List",'Problem Tracker'!$D:$D,"Fast &amp; Slow Pointers",'Problem Tracker'!$E:$E,"Middle / Split")</f>
        <v>3</v>
      </c>
      <c r="J61" s="24" t="n">
        <f aca="false">COUNTIFS('Problem Tracker'!$C:$C,"Linked List",'Problem Tracker'!$D:$D,"Fast &amp; Slow Pointers",'Problem Tracker'!$E:$E,"Middle / Split",'Problem Tracker'!$H:$H,"Easy")</f>
        <v>2</v>
      </c>
      <c r="K61" s="25" t="n">
        <f aca="false">COUNTIFS('Problem Tracker'!$C:$C,"Linked List",'Problem Tracker'!$D:$D,"Fast &amp; Slow Pointers",'Problem Tracker'!$E:$E,"Middle / Split",'Problem Tracker'!$H:$H,"Medium")</f>
        <v>1</v>
      </c>
      <c r="L61" s="26" t="n">
        <f aca="false">COUNTIFS('Problem Tracker'!$C:$C,"Linked List",'Problem Tracker'!$D:$D,"Fast &amp; Slow Pointers",'Problem Tracker'!$E:$E,"Middle / Split",'Problem Tracker'!$H:$H,"Hard")</f>
        <v>0</v>
      </c>
      <c r="M61" s="23" t="n">
        <f aca="false">COUNTIFS('Problem Tracker'!$C:$C,"Linked List",'Problem Tracker'!$D:$D,"Fast &amp; Slow Pointers",'Problem Tracker'!$E:$E,"Middle / Split",'Problem Tracker'!$M:$M,"Solved")+COUNTIFS('Problem Tracker'!$C:$C,"Linked List",'Problem Tracker'!$D:$D,"Fast &amp; Slow Pointers",'Problem Tracker'!$E:$E,"Middle / Split",'Problem Tracker'!$M:$M,"Mastered")</f>
        <v>0</v>
      </c>
      <c r="N61" s="28" t="n">
        <f aca="false">IF(I61=0,0,M61/I61)</f>
        <v>0</v>
      </c>
    </row>
    <row r="62" customFormat="false" ht="15" hidden="false" customHeight="false" outlineLevel="0" collapsed="false">
      <c r="A62" s="94" t="s">
        <v>32</v>
      </c>
      <c r="B62" s="35" t="s">
        <v>292</v>
      </c>
      <c r="C62" s="95" t="s">
        <v>293</v>
      </c>
      <c r="D62" s="58" t="s">
        <v>92</v>
      </c>
      <c r="E62" s="51" t="s">
        <v>294</v>
      </c>
      <c r="F62" s="51" t="s">
        <v>295</v>
      </c>
      <c r="G62" s="23" t="s">
        <v>124</v>
      </c>
      <c r="H62" s="23" t="s">
        <v>33</v>
      </c>
      <c r="I62" s="23" t="n">
        <f aca="false">COUNTIFS('Problem Tracker'!$C:$C,"Linked List",'Problem Tracker'!$D:$D,"In-place Reversal",'Problem Tracker'!$E:$E,"Full / Partial / K-Group Reversal")</f>
        <v>5</v>
      </c>
      <c r="J62" s="24" t="n">
        <f aca="false">COUNTIFS('Problem Tracker'!$C:$C,"Linked List",'Problem Tracker'!$D:$D,"In-place Reversal",'Problem Tracker'!$E:$E,"Full / Partial / K-Group Reversal",'Problem Tracker'!$H:$H,"Easy")</f>
        <v>1</v>
      </c>
      <c r="K62" s="25" t="n">
        <f aca="false">COUNTIFS('Problem Tracker'!$C:$C,"Linked List",'Problem Tracker'!$D:$D,"In-place Reversal",'Problem Tracker'!$E:$E,"Full / Partial / K-Group Reversal",'Problem Tracker'!$H:$H,"Medium")</f>
        <v>3</v>
      </c>
      <c r="L62" s="26" t="n">
        <f aca="false">COUNTIFS('Problem Tracker'!$C:$C,"Linked List",'Problem Tracker'!$D:$D,"In-place Reversal",'Problem Tracker'!$E:$E,"Full / Partial / K-Group Reversal",'Problem Tracker'!$H:$H,"Hard")</f>
        <v>1</v>
      </c>
      <c r="M62" s="23" t="n">
        <f aca="false">COUNTIFS('Problem Tracker'!$C:$C,"Linked List",'Problem Tracker'!$D:$D,"In-place Reversal",'Problem Tracker'!$E:$E,"Full / Partial / K-Group Reversal",'Problem Tracker'!$M:$M,"Solved")+COUNTIFS('Problem Tracker'!$C:$C,"Linked List",'Problem Tracker'!$D:$D,"In-place Reversal",'Problem Tracker'!$E:$E,"Full / Partial / K-Group Reversal",'Problem Tracker'!$M:$M,"Mastered")</f>
        <v>0</v>
      </c>
      <c r="N62" s="28" t="n">
        <f aca="false">IF(I62=0,0,M62/I62)</f>
        <v>0</v>
      </c>
    </row>
    <row r="63" customFormat="false" ht="15" hidden="false" customHeight="false" outlineLevel="0" collapsed="false">
      <c r="A63" s="94" t="s">
        <v>32</v>
      </c>
      <c r="B63" s="35" t="s">
        <v>296</v>
      </c>
      <c r="C63" s="95" t="s">
        <v>297</v>
      </c>
      <c r="D63" s="58" t="s">
        <v>92</v>
      </c>
      <c r="E63" s="51" t="s">
        <v>298</v>
      </c>
      <c r="F63" s="51" t="s">
        <v>299</v>
      </c>
      <c r="G63" s="23" t="s">
        <v>99</v>
      </c>
      <c r="H63" s="23" t="s">
        <v>33</v>
      </c>
      <c r="I63" s="23" t="n">
        <f aca="false">COUNTIFS('Problem Tracker'!$C:$C,"Linked List",'Problem Tracker'!$D:$D,"Pointer Manipulation",'Problem Tracker'!$E:$E,"Dummy Node / Removal")</f>
        <v>4</v>
      </c>
      <c r="J63" s="24" t="n">
        <f aca="false">COUNTIFS('Problem Tracker'!$C:$C,"Linked List",'Problem Tracker'!$D:$D,"Pointer Manipulation",'Problem Tracker'!$E:$E,"Dummy Node / Removal",'Problem Tracker'!$H:$H,"Easy")</f>
        <v>2</v>
      </c>
      <c r="K63" s="25" t="n">
        <f aca="false">COUNTIFS('Problem Tracker'!$C:$C,"Linked List",'Problem Tracker'!$D:$D,"Pointer Manipulation",'Problem Tracker'!$E:$E,"Dummy Node / Removal",'Problem Tracker'!$H:$H,"Medium")</f>
        <v>2</v>
      </c>
      <c r="L63" s="26" t="n">
        <f aca="false">COUNTIFS('Problem Tracker'!$C:$C,"Linked List",'Problem Tracker'!$D:$D,"Pointer Manipulation",'Problem Tracker'!$E:$E,"Dummy Node / Removal",'Problem Tracker'!$H:$H,"Hard")</f>
        <v>0</v>
      </c>
      <c r="M63" s="23" t="n">
        <f aca="false">COUNTIFS('Problem Tracker'!$C:$C,"Linked List",'Problem Tracker'!$D:$D,"Pointer Manipulation",'Problem Tracker'!$E:$E,"Dummy Node / Removal",'Problem Tracker'!$M:$M,"Solved")+COUNTIFS('Problem Tracker'!$C:$C,"Linked List",'Problem Tracker'!$D:$D,"Pointer Manipulation",'Problem Tracker'!$E:$E,"Dummy Node / Removal",'Problem Tracker'!$M:$M,"Mastered")</f>
        <v>0</v>
      </c>
      <c r="N63" s="28" t="n">
        <f aca="false">IF(I63=0,0,M63/I63)</f>
        <v>0</v>
      </c>
    </row>
    <row r="64" customFormat="false" ht="15" hidden="false" customHeight="false" outlineLevel="0" collapsed="false">
      <c r="A64" s="94" t="s">
        <v>32</v>
      </c>
      <c r="B64" s="35" t="s">
        <v>296</v>
      </c>
      <c r="C64" s="95" t="s">
        <v>300</v>
      </c>
      <c r="D64" s="58" t="s">
        <v>92</v>
      </c>
      <c r="E64" s="51" t="s">
        <v>301</v>
      </c>
      <c r="F64" s="51" t="s">
        <v>302</v>
      </c>
      <c r="G64" s="23" t="s">
        <v>99</v>
      </c>
      <c r="H64" s="23" t="s">
        <v>33</v>
      </c>
      <c r="I64" s="23" t="n">
        <f aca="false">COUNTIFS('Problem Tracker'!$C:$C,"Linked List",'Problem Tracker'!$D:$D,"Pointer Manipulation",'Problem Tracker'!$E:$E,"Merge &amp; Rearrange")</f>
        <v>5</v>
      </c>
      <c r="J64" s="24" t="n">
        <f aca="false">COUNTIFS('Problem Tracker'!$C:$C,"Linked List",'Problem Tracker'!$D:$D,"Pointer Manipulation",'Problem Tracker'!$E:$E,"Merge &amp; Rearrange",'Problem Tracker'!$H:$H,"Easy")</f>
        <v>1</v>
      </c>
      <c r="K64" s="25" t="n">
        <f aca="false">COUNTIFS('Problem Tracker'!$C:$C,"Linked List",'Problem Tracker'!$D:$D,"Pointer Manipulation",'Problem Tracker'!$E:$E,"Merge &amp; Rearrange",'Problem Tracker'!$H:$H,"Medium")</f>
        <v>4</v>
      </c>
      <c r="L64" s="26" t="n">
        <f aca="false">COUNTIFS('Problem Tracker'!$C:$C,"Linked List",'Problem Tracker'!$D:$D,"Pointer Manipulation",'Problem Tracker'!$E:$E,"Merge &amp; Rearrange",'Problem Tracker'!$H:$H,"Hard")</f>
        <v>0</v>
      </c>
      <c r="M64" s="23" t="n">
        <f aca="false">COUNTIFS('Problem Tracker'!$C:$C,"Linked List",'Problem Tracker'!$D:$D,"Pointer Manipulation",'Problem Tracker'!$E:$E,"Merge &amp; Rearrange",'Problem Tracker'!$M:$M,"Solved")+COUNTIFS('Problem Tracker'!$C:$C,"Linked List",'Problem Tracker'!$D:$D,"Pointer Manipulation",'Problem Tracker'!$E:$E,"Merge &amp; Rearrange",'Problem Tracker'!$M:$M,"Mastered")</f>
        <v>0</v>
      </c>
      <c r="N64" s="28" t="n">
        <f aca="false">IF(I64=0,0,M64/I64)</f>
        <v>0</v>
      </c>
    </row>
    <row r="65" customFormat="false" ht="15" hidden="false" customHeight="false" outlineLevel="0" collapsed="false">
      <c r="A65" s="94" t="s">
        <v>32</v>
      </c>
      <c r="B65" s="35" t="s">
        <v>296</v>
      </c>
      <c r="C65" s="95" t="s">
        <v>303</v>
      </c>
      <c r="D65" s="59" t="s">
        <v>101</v>
      </c>
      <c r="E65" s="51" t="s">
        <v>304</v>
      </c>
      <c r="F65" s="51" t="s">
        <v>305</v>
      </c>
      <c r="G65" s="23" t="s">
        <v>99</v>
      </c>
      <c r="H65" s="23" t="s">
        <v>33</v>
      </c>
      <c r="I65" s="23" t="n">
        <f aca="false">COUNTIFS('Problem Tracker'!$C:$C,"Linked List",'Problem Tracker'!$D:$D,"Pointer Manipulation",'Problem Tracker'!$E:$E,"Intersection &amp; Arithmetic")</f>
        <v>3</v>
      </c>
      <c r="J65" s="24" t="n">
        <f aca="false">COUNTIFS('Problem Tracker'!$C:$C,"Linked List",'Problem Tracker'!$D:$D,"Pointer Manipulation",'Problem Tracker'!$E:$E,"Intersection &amp; Arithmetic",'Problem Tracker'!$H:$H,"Easy")</f>
        <v>1</v>
      </c>
      <c r="K65" s="25" t="n">
        <f aca="false">COUNTIFS('Problem Tracker'!$C:$C,"Linked List",'Problem Tracker'!$D:$D,"Pointer Manipulation",'Problem Tracker'!$E:$E,"Intersection &amp; Arithmetic",'Problem Tracker'!$H:$H,"Medium")</f>
        <v>2</v>
      </c>
      <c r="L65" s="26" t="n">
        <f aca="false">COUNTIFS('Problem Tracker'!$C:$C,"Linked List",'Problem Tracker'!$D:$D,"Pointer Manipulation",'Problem Tracker'!$E:$E,"Intersection &amp; Arithmetic",'Problem Tracker'!$H:$H,"Hard")</f>
        <v>0</v>
      </c>
      <c r="M65" s="23" t="n">
        <f aca="false">COUNTIFS('Problem Tracker'!$C:$C,"Linked List",'Problem Tracker'!$D:$D,"Pointer Manipulation",'Problem Tracker'!$E:$E,"Intersection &amp; Arithmetic",'Problem Tracker'!$M:$M,"Solved")+COUNTIFS('Problem Tracker'!$C:$C,"Linked List",'Problem Tracker'!$D:$D,"Pointer Manipulation",'Problem Tracker'!$E:$E,"Intersection &amp; Arithmetic",'Problem Tracker'!$M:$M,"Mastered")</f>
        <v>0</v>
      </c>
      <c r="N65" s="28" t="n">
        <f aca="false">IF(I65=0,0,M65/I65)</f>
        <v>0</v>
      </c>
    </row>
    <row r="66" customFormat="false" ht="23.85" hidden="false" customHeight="false" outlineLevel="0" collapsed="false">
      <c r="A66" s="94" t="s">
        <v>32</v>
      </c>
      <c r="B66" s="35" t="s">
        <v>296</v>
      </c>
      <c r="C66" s="95" t="s">
        <v>306</v>
      </c>
      <c r="D66" s="59" t="s">
        <v>101</v>
      </c>
      <c r="E66" s="51" t="s">
        <v>307</v>
      </c>
      <c r="F66" s="51" t="s">
        <v>308</v>
      </c>
      <c r="G66" s="23" t="s">
        <v>99</v>
      </c>
      <c r="H66" s="23" t="s">
        <v>33</v>
      </c>
      <c r="I66" s="23" t="n">
        <f aca="false">COUNTIFS('Problem Tracker'!$C:$C,"Linked List",'Problem Tracker'!$D:$D,"Pointer Manipulation",'Problem Tracker'!$E:$E,"Complex Pointers (Random / Multilevel)")</f>
        <v>3</v>
      </c>
      <c r="J66" s="24" t="n">
        <f aca="false">COUNTIFS('Problem Tracker'!$C:$C,"Linked List",'Problem Tracker'!$D:$D,"Pointer Manipulation",'Problem Tracker'!$E:$E,"Complex Pointers (Random / Multilevel)",'Problem Tracker'!$H:$H,"Easy")</f>
        <v>0</v>
      </c>
      <c r="K66" s="25" t="n">
        <f aca="false">COUNTIFS('Problem Tracker'!$C:$C,"Linked List",'Problem Tracker'!$D:$D,"Pointer Manipulation",'Problem Tracker'!$E:$E,"Complex Pointers (Random / Multilevel)",'Problem Tracker'!$H:$H,"Medium")</f>
        <v>3</v>
      </c>
      <c r="L66" s="26" t="n">
        <f aca="false">COUNTIFS('Problem Tracker'!$C:$C,"Linked List",'Problem Tracker'!$D:$D,"Pointer Manipulation",'Problem Tracker'!$E:$E,"Complex Pointers (Random / Multilevel)",'Problem Tracker'!$H:$H,"Hard")</f>
        <v>0</v>
      </c>
      <c r="M66" s="23" t="n">
        <f aca="false">COUNTIFS('Problem Tracker'!$C:$C,"Linked List",'Problem Tracker'!$D:$D,"Pointer Manipulation",'Problem Tracker'!$E:$E,"Complex Pointers (Random / Multilevel)",'Problem Tracker'!$M:$M,"Solved")+COUNTIFS('Problem Tracker'!$C:$C,"Linked List",'Problem Tracker'!$D:$D,"Pointer Manipulation",'Problem Tracker'!$E:$E,"Complex Pointers (Random / Multilevel)",'Problem Tracker'!$M:$M,"Mastered")</f>
        <v>0</v>
      </c>
      <c r="N66" s="28" t="n">
        <f aca="false">IF(I66=0,0,M66/I66)</f>
        <v>0</v>
      </c>
    </row>
    <row r="67" customFormat="false" ht="15" hidden="false" customHeight="false" outlineLevel="0" collapsed="false">
      <c r="A67" s="96" t="s">
        <v>309</v>
      </c>
      <c r="B67" s="97"/>
      <c r="C67" s="97"/>
      <c r="D67" s="97"/>
      <c r="E67" s="97"/>
      <c r="F67" s="97"/>
      <c r="G67" s="97"/>
      <c r="H67" s="97"/>
      <c r="I67" s="97" t="n">
        <f aca="false">COUNTIF('Problem Tracker'!$C:$C,"Intervals")</f>
        <v>14</v>
      </c>
      <c r="J67" s="97"/>
      <c r="K67" s="97"/>
      <c r="L67" s="97"/>
      <c r="M67" s="97" t="n">
        <f aca="false">COUNTIFS('Problem Tracker'!$C:$C,"Intervals",'Problem Tracker'!$M:$M,"Solved")+COUNTIFS('Problem Tracker'!$C:$C,"Intervals",'Problem Tracker'!$M:$M,"Mastered")</f>
        <v>0</v>
      </c>
      <c r="N67" s="98" t="n">
        <f aca="false">IF(I67=0,0,M67/I67)</f>
        <v>0</v>
      </c>
    </row>
    <row r="68" customFormat="false" ht="15" hidden="false" customHeight="false" outlineLevel="0" collapsed="false">
      <c r="A68" s="99" t="s">
        <v>34</v>
      </c>
      <c r="B68" s="36" t="s">
        <v>310</v>
      </c>
      <c r="C68" s="100" t="s">
        <v>311</v>
      </c>
      <c r="D68" s="58" t="s">
        <v>92</v>
      </c>
      <c r="E68" s="51" t="s">
        <v>312</v>
      </c>
      <c r="F68" s="51" t="s">
        <v>313</v>
      </c>
      <c r="G68" s="23" t="s">
        <v>314</v>
      </c>
      <c r="H68" s="23" t="s">
        <v>33</v>
      </c>
      <c r="I68" s="23" t="n">
        <f aca="false">COUNTIFS('Problem Tracker'!$C:$C,"Intervals",'Problem Tracker'!$D:$D,"Interval Patterns",'Problem Tracker'!$E:$E,"Merge / Insert")</f>
        <v>3</v>
      </c>
      <c r="J68" s="24" t="n">
        <f aca="false">COUNTIFS('Problem Tracker'!$C:$C,"Intervals",'Problem Tracker'!$D:$D,"Interval Patterns",'Problem Tracker'!$E:$E,"Merge / Insert",'Problem Tracker'!$H:$H,"Easy")</f>
        <v>1</v>
      </c>
      <c r="K68" s="25" t="n">
        <f aca="false">COUNTIFS('Problem Tracker'!$C:$C,"Intervals",'Problem Tracker'!$D:$D,"Interval Patterns",'Problem Tracker'!$E:$E,"Merge / Insert",'Problem Tracker'!$H:$H,"Medium")</f>
        <v>2</v>
      </c>
      <c r="L68" s="26" t="n">
        <f aca="false">COUNTIFS('Problem Tracker'!$C:$C,"Intervals",'Problem Tracker'!$D:$D,"Interval Patterns",'Problem Tracker'!$E:$E,"Merge / Insert",'Problem Tracker'!$H:$H,"Hard")</f>
        <v>0</v>
      </c>
      <c r="M68" s="23" t="n">
        <f aca="false">COUNTIFS('Problem Tracker'!$C:$C,"Intervals",'Problem Tracker'!$D:$D,"Interval Patterns",'Problem Tracker'!$E:$E,"Merge / Insert",'Problem Tracker'!$M:$M,"Solved")+COUNTIFS('Problem Tracker'!$C:$C,"Intervals",'Problem Tracker'!$D:$D,"Interval Patterns",'Problem Tracker'!$E:$E,"Merge / Insert",'Problem Tracker'!$M:$M,"Mastered")</f>
        <v>0</v>
      </c>
      <c r="N68" s="28" t="n">
        <f aca="false">IF(I68=0,0,M68/I68)</f>
        <v>0</v>
      </c>
    </row>
    <row r="69" customFormat="false" ht="23.85" hidden="false" customHeight="false" outlineLevel="0" collapsed="false">
      <c r="A69" s="99" t="s">
        <v>34</v>
      </c>
      <c r="B69" s="36" t="s">
        <v>310</v>
      </c>
      <c r="C69" s="100" t="s">
        <v>315</v>
      </c>
      <c r="D69" s="58" t="s">
        <v>92</v>
      </c>
      <c r="E69" s="51" t="s">
        <v>316</v>
      </c>
      <c r="F69" s="51" t="s">
        <v>317</v>
      </c>
      <c r="G69" s="23" t="s">
        <v>314</v>
      </c>
      <c r="H69" s="23" t="s">
        <v>33</v>
      </c>
      <c r="I69" s="23" t="n">
        <f aca="false">COUNTIFS('Problem Tracker'!$C:$C,"Intervals",'Problem Tracker'!$D:$D,"Interval Patterns",'Problem Tracker'!$E:$E,"Non-overlap Scheduling (Greedy by End)")</f>
        <v>3</v>
      </c>
      <c r="J69" s="24" t="n">
        <f aca="false">COUNTIFS('Problem Tracker'!$C:$C,"Intervals",'Problem Tracker'!$D:$D,"Interval Patterns",'Problem Tracker'!$E:$E,"Non-overlap Scheduling (Greedy by End)",'Problem Tracker'!$H:$H,"Easy")</f>
        <v>1</v>
      </c>
      <c r="K69" s="25" t="n">
        <f aca="false">COUNTIFS('Problem Tracker'!$C:$C,"Intervals",'Problem Tracker'!$D:$D,"Interval Patterns",'Problem Tracker'!$E:$E,"Non-overlap Scheduling (Greedy by End)",'Problem Tracker'!$H:$H,"Medium")</f>
        <v>2</v>
      </c>
      <c r="L69" s="26" t="n">
        <f aca="false">COUNTIFS('Problem Tracker'!$C:$C,"Intervals",'Problem Tracker'!$D:$D,"Interval Patterns",'Problem Tracker'!$E:$E,"Non-overlap Scheduling (Greedy by End)",'Problem Tracker'!$H:$H,"Hard")</f>
        <v>0</v>
      </c>
      <c r="M69" s="23" t="n">
        <f aca="false">COUNTIFS('Problem Tracker'!$C:$C,"Intervals",'Problem Tracker'!$D:$D,"Interval Patterns",'Problem Tracker'!$E:$E,"Non-overlap Scheduling (Greedy by End)",'Problem Tracker'!$M:$M,"Solved")+COUNTIFS('Problem Tracker'!$C:$C,"Intervals",'Problem Tracker'!$D:$D,"Interval Patterns",'Problem Tracker'!$E:$E,"Non-overlap Scheduling (Greedy by End)",'Problem Tracker'!$M:$M,"Mastered")</f>
        <v>0</v>
      </c>
      <c r="N69" s="28" t="n">
        <f aca="false">IF(I69=0,0,M69/I69)</f>
        <v>0</v>
      </c>
    </row>
    <row r="70" customFormat="false" ht="15" hidden="false" customHeight="false" outlineLevel="0" collapsed="false">
      <c r="A70" s="99" t="s">
        <v>34</v>
      </c>
      <c r="B70" s="36" t="s">
        <v>310</v>
      </c>
      <c r="C70" s="100" t="s">
        <v>318</v>
      </c>
      <c r="D70" s="58" t="s">
        <v>92</v>
      </c>
      <c r="E70" s="51" t="s">
        <v>319</v>
      </c>
      <c r="F70" s="51" t="s">
        <v>320</v>
      </c>
      <c r="G70" s="23" t="s">
        <v>314</v>
      </c>
      <c r="H70" s="23" t="s">
        <v>33</v>
      </c>
      <c r="I70" s="23" t="n">
        <f aca="false">COUNTIFS('Problem Tracker'!$C:$C,"Intervals",'Problem Tracker'!$D:$D,"Interval Patterns",'Problem Tracker'!$E:$E,"Sweep Line / Concurrent Count")</f>
        <v>5</v>
      </c>
      <c r="J70" s="24" t="n">
        <f aca="false">COUNTIFS('Problem Tracker'!$C:$C,"Intervals",'Problem Tracker'!$D:$D,"Interval Patterns",'Problem Tracker'!$E:$E,"Sweep Line / Concurrent Count",'Problem Tracker'!$H:$H,"Easy")</f>
        <v>0</v>
      </c>
      <c r="K70" s="25" t="n">
        <f aca="false">COUNTIFS('Problem Tracker'!$C:$C,"Intervals",'Problem Tracker'!$D:$D,"Interval Patterns",'Problem Tracker'!$E:$E,"Sweep Line / Concurrent Count",'Problem Tracker'!$H:$H,"Medium")</f>
        <v>1</v>
      </c>
      <c r="L70" s="26" t="n">
        <f aca="false">COUNTIFS('Problem Tracker'!$C:$C,"Intervals",'Problem Tracker'!$D:$D,"Interval Patterns",'Problem Tracker'!$E:$E,"Sweep Line / Concurrent Count",'Problem Tracker'!$H:$H,"Hard")</f>
        <v>4</v>
      </c>
      <c r="M70" s="23" t="n">
        <f aca="false">COUNTIFS('Problem Tracker'!$C:$C,"Intervals",'Problem Tracker'!$D:$D,"Interval Patterns",'Problem Tracker'!$E:$E,"Sweep Line / Concurrent Count",'Problem Tracker'!$M:$M,"Solved")+COUNTIFS('Problem Tracker'!$C:$C,"Intervals",'Problem Tracker'!$D:$D,"Interval Patterns",'Problem Tracker'!$E:$E,"Sweep Line / Concurrent Count",'Problem Tracker'!$M:$M,"Mastered")</f>
        <v>0</v>
      </c>
      <c r="N70" s="28" t="n">
        <f aca="false">IF(I70=0,0,M70/I70)</f>
        <v>0</v>
      </c>
    </row>
    <row r="71" customFormat="false" ht="15" hidden="false" customHeight="false" outlineLevel="0" collapsed="false">
      <c r="A71" s="99" t="s">
        <v>34</v>
      </c>
      <c r="B71" s="36" t="s">
        <v>310</v>
      </c>
      <c r="C71" s="100" t="s">
        <v>321</v>
      </c>
      <c r="D71" s="59" t="s">
        <v>101</v>
      </c>
      <c r="E71" s="51" t="s">
        <v>322</v>
      </c>
      <c r="F71" s="51" t="s">
        <v>323</v>
      </c>
      <c r="G71" s="23" t="s">
        <v>197</v>
      </c>
      <c r="H71" s="23" t="s">
        <v>33</v>
      </c>
      <c r="I71" s="23" t="n">
        <f aca="false">COUNTIFS('Problem Tracker'!$C:$C,"Intervals",'Problem Tracker'!$D:$D,"Interval Patterns",'Problem Tracker'!$E:$E,"Intersection / Booking")</f>
        <v>3</v>
      </c>
      <c r="J71" s="24" t="n">
        <f aca="false">COUNTIFS('Problem Tracker'!$C:$C,"Intervals",'Problem Tracker'!$D:$D,"Interval Patterns",'Problem Tracker'!$E:$E,"Intersection / Booking",'Problem Tracker'!$H:$H,"Easy")</f>
        <v>0</v>
      </c>
      <c r="K71" s="25" t="n">
        <f aca="false">COUNTIFS('Problem Tracker'!$C:$C,"Intervals",'Problem Tracker'!$D:$D,"Interval Patterns",'Problem Tracker'!$E:$E,"Intersection / Booking",'Problem Tracker'!$H:$H,"Medium")</f>
        <v>2</v>
      </c>
      <c r="L71" s="26" t="n">
        <f aca="false">COUNTIFS('Problem Tracker'!$C:$C,"Intervals",'Problem Tracker'!$D:$D,"Interval Patterns",'Problem Tracker'!$E:$E,"Intersection / Booking",'Problem Tracker'!$H:$H,"Hard")</f>
        <v>1</v>
      </c>
      <c r="M71" s="23" t="n">
        <f aca="false">COUNTIFS('Problem Tracker'!$C:$C,"Intervals",'Problem Tracker'!$D:$D,"Interval Patterns",'Problem Tracker'!$E:$E,"Intersection / Booking",'Problem Tracker'!$M:$M,"Solved")+COUNTIFS('Problem Tracker'!$C:$C,"Intervals",'Problem Tracker'!$D:$D,"Interval Patterns",'Problem Tracker'!$E:$E,"Intersection / Booking",'Problem Tracker'!$M:$M,"Mastered")</f>
        <v>0</v>
      </c>
      <c r="N71" s="28" t="n">
        <f aca="false">IF(I71=0,0,M71/I71)</f>
        <v>0</v>
      </c>
    </row>
    <row r="72" customFormat="false" ht="15" hidden="false" customHeight="false" outlineLevel="0" collapsed="false">
      <c r="A72" s="101" t="s">
        <v>324</v>
      </c>
      <c r="B72" s="102"/>
      <c r="C72" s="102"/>
      <c r="D72" s="102"/>
      <c r="E72" s="102"/>
      <c r="F72" s="102"/>
      <c r="G72" s="102"/>
      <c r="H72" s="102"/>
      <c r="I72" s="102" t="n">
        <f aca="false">COUNTIF('Problem Tracker'!$C:$C,"Trees")</f>
        <v>50</v>
      </c>
      <c r="J72" s="102"/>
      <c r="K72" s="102"/>
      <c r="L72" s="102"/>
      <c r="M72" s="102" t="n">
        <f aca="false">COUNTIFS('Problem Tracker'!$C:$C,"Trees",'Problem Tracker'!$M:$M,"Solved")+COUNTIFS('Problem Tracker'!$C:$C,"Trees",'Problem Tracker'!$M:$M,"Mastered")</f>
        <v>0</v>
      </c>
      <c r="N72" s="103" t="n">
        <f aca="false">IF(I72=0,0,M72/I72)</f>
        <v>0</v>
      </c>
    </row>
    <row r="73" customFormat="false" ht="23.85" hidden="false" customHeight="false" outlineLevel="0" collapsed="false">
      <c r="A73" s="104" t="s">
        <v>35</v>
      </c>
      <c r="B73" s="37" t="s">
        <v>325</v>
      </c>
      <c r="C73" s="105" t="s">
        <v>326</v>
      </c>
      <c r="D73" s="58" t="s">
        <v>92</v>
      </c>
      <c r="E73" s="51" t="s">
        <v>327</v>
      </c>
      <c r="F73" s="51" t="s">
        <v>328</v>
      </c>
      <c r="G73" s="23" t="s">
        <v>99</v>
      </c>
      <c r="H73" s="23" t="s">
        <v>66</v>
      </c>
      <c r="I73" s="23" t="n">
        <f aca="false">COUNTIFS('Problem Tracker'!$C:$C,"Trees",'Problem Tracker'!$D:$D,"DFS Traversal",'Problem Tracker'!$E:$E,"Pre / In / Post-order (Recursive &amp; Iterative)")</f>
        <v>3</v>
      </c>
      <c r="J73" s="24" t="n">
        <f aca="false">COUNTIFS('Problem Tracker'!$C:$C,"Trees",'Problem Tracker'!$D:$D,"DFS Traversal",'Problem Tracker'!$E:$E,"Pre / In / Post-order (Recursive &amp; Iterative)",'Problem Tracker'!$H:$H,"Easy")</f>
        <v>3</v>
      </c>
      <c r="K73" s="25" t="n">
        <f aca="false">COUNTIFS('Problem Tracker'!$C:$C,"Trees",'Problem Tracker'!$D:$D,"DFS Traversal",'Problem Tracker'!$E:$E,"Pre / In / Post-order (Recursive &amp; Iterative)",'Problem Tracker'!$H:$H,"Medium")</f>
        <v>0</v>
      </c>
      <c r="L73" s="26" t="n">
        <f aca="false">COUNTIFS('Problem Tracker'!$C:$C,"Trees",'Problem Tracker'!$D:$D,"DFS Traversal",'Problem Tracker'!$E:$E,"Pre / In / Post-order (Recursive &amp; Iterative)",'Problem Tracker'!$H:$H,"Hard")</f>
        <v>0</v>
      </c>
      <c r="M73" s="23" t="n">
        <f aca="false">COUNTIFS('Problem Tracker'!$C:$C,"Trees",'Problem Tracker'!$D:$D,"DFS Traversal",'Problem Tracker'!$E:$E,"Pre / In / Post-order (Recursive &amp; Iterative)",'Problem Tracker'!$M:$M,"Solved")+COUNTIFS('Problem Tracker'!$C:$C,"Trees",'Problem Tracker'!$D:$D,"DFS Traversal",'Problem Tracker'!$E:$E,"Pre / In / Post-order (Recursive &amp; Iterative)",'Problem Tracker'!$M:$M,"Mastered")</f>
        <v>0</v>
      </c>
      <c r="N73" s="28" t="n">
        <f aca="false">IF(I73=0,0,M73/I73)</f>
        <v>0</v>
      </c>
    </row>
    <row r="74" customFormat="false" ht="15" hidden="false" customHeight="false" outlineLevel="0" collapsed="false">
      <c r="A74" s="104" t="s">
        <v>35</v>
      </c>
      <c r="B74" s="37" t="s">
        <v>325</v>
      </c>
      <c r="C74" s="105" t="s">
        <v>329</v>
      </c>
      <c r="D74" s="58" t="s">
        <v>92</v>
      </c>
      <c r="E74" s="51" t="s">
        <v>330</v>
      </c>
      <c r="F74" s="51" t="s">
        <v>331</v>
      </c>
      <c r="G74" s="23" t="s">
        <v>99</v>
      </c>
      <c r="H74" s="23" t="s">
        <v>66</v>
      </c>
      <c r="I74" s="23" t="n">
        <f aca="false">COUNTIFS('Problem Tracker'!$C:$C,"Trees",'Problem Tracker'!$D:$D,"DFS Traversal",'Problem Tracker'!$E:$E,"Structural Comparison")</f>
        <v>6</v>
      </c>
      <c r="J74" s="24" t="n">
        <f aca="false">COUNTIFS('Problem Tracker'!$C:$C,"Trees",'Problem Tracker'!$D:$D,"DFS Traversal",'Problem Tracker'!$E:$E,"Structural Comparison",'Problem Tracker'!$H:$H,"Easy")</f>
        <v>6</v>
      </c>
      <c r="K74" s="25" t="n">
        <f aca="false">COUNTIFS('Problem Tracker'!$C:$C,"Trees",'Problem Tracker'!$D:$D,"DFS Traversal",'Problem Tracker'!$E:$E,"Structural Comparison",'Problem Tracker'!$H:$H,"Medium")</f>
        <v>0</v>
      </c>
      <c r="L74" s="26" t="n">
        <f aca="false">COUNTIFS('Problem Tracker'!$C:$C,"Trees",'Problem Tracker'!$D:$D,"DFS Traversal",'Problem Tracker'!$E:$E,"Structural Comparison",'Problem Tracker'!$H:$H,"Hard")</f>
        <v>0</v>
      </c>
      <c r="M74" s="23" t="n">
        <f aca="false">COUNTIFS('Problem Tracker'!$C:$C,"Trees",'Problem Tracker'!$D:$D,"DFS Traversal",'Problem Tracker'!$E:$E,"Structural Comparison",'Problem Tracker'!$M:$M,"Solved")+COUNTIFS('Problem Tracker'!$C:$C,"Trees",'Problem Tracker'!$D:$D,"DFS Traversal",'Problem Tracker'!$E:$E,"Structural Comparison",'Problem Tracker'!$M:$M,"Mastered")</f>
        <v>0</v>
      </c>
      <c r="N74" s="28" t="n">
        <f aca="false">IF(I74=0,0,M74/I74)</f>
        <v>0</v>
      </c>
    </row>
    <row r="75" customFormat="false" ht="15" hidden="false" customHeight="false" outlineLevel="0" collapsed="false">
      <c r="A75" s="104" t="s">
        <v>35</v>
      </c>
      <c r="B75" s="37" t="s">
        <v>332</v>
      </c>
      <c r="C75" s="105" t="s">
        <v>333</v>
      </c>
      <c r="D75" s="58" t="s">
        <v>92</v>
      </c>
      <c r="E75" s="51" t="s">
        <v>334</v>
      </c>
      <c r="F75" s="51" t="s">
        <v>335</v>
      </c>
      <c r="G75" s="23" t="s">
        <v>99</v>
      </c>
      <c r="H75" s="23" t="s">
        <v>66</v>
      </c>
      <c r="I75" s="23" t="n">
        <f aca="false">COUNTIFS('Problem Tracker'!$C:$C,"Trees",'Problem Tracker'!$D:$D,"BFS / Level Order",'Problem Tracker'!$E:$E,"Level-by-Level Processing")</f>
        <v>7</v>
      </c>
      <c r="J75" s="24" t="n">
        <f aca="false">COUNTIFS('Problem Tracker'!$C:$C,"Trees",'Problem Tracker'!$D:$D,"BFS / Level Order",'Problem Tracker'!$E:$E,"Level-by-Level Processing",'Problem Tracker'!$H:$H,"Easy")</f>
        <v>1</v>
      </c>
      <c r="K75" s="25" t="n">
        <f aca="false">COUNTIFS('Problem Tracker'!$C:$C,"Trees",'Problem Tracker'!$D:$D,"BFS / Level Order",'Problem Tracker'!$E:$E,"Level-by-Level Processing",'Problem Tracker'!$H:$H,"Medium")</f>
        <v>6</v>
      </c>
      <c r="L75" s="26" t="n">
        <f aca="false">COUNTIFS('Problem Tracker'!$C:$C,"Trees",'Problem Tracker'!$D:$D,"BFS / Level Order",'Problem Tracker'!$E:$E,"Level-by-Level Processing",'Problem Tracker'!$H:$H,"Hard")</f>
        <v>0</v>
      </c>
      <c r="M75" s="23" t="n">
        <f aca="false">COUNTIFS('Problem Tracker'!$C:$C,"Trees",'Problem Tracker'!$D:$D,"BFS / Level Order",'Problem Tracker'!$E:$E,"Level-by-Level Processing",'Problem Tracker'!$M:$M,"Solved")+COUNTIFS('Problem Tracker'!$C:$C,"Trees",'Problem Tracker'!$D:$D,"BFS / Level Order",'Problem Tracker'!$E:$E,"Level-by-Level Processing",'Problem Tracker'!$M:$M,"Mastered")</f>
        <v>0</v>
      </c>
      <c r="N75" s="28" t="n">
        <f aca="false">IF(I75=0,0,M75/I75)</f>
        <v>0</v>
      </c>
    </row>
    <row r="76" customFormat="false" ht="23.85" hidden="false" customHeight="false" outlineLevel="0" collapsed="false">
      <c r="A76" s="104" t="s">
        <v>35</v>
      </c>
      <c r="B76" s="37" t="s">
        <v>332</v>
      </c>
      <c r="C76" s="105" t="s">
        <v>336</v>
      </c>
      <c r="D76" s="59" t="s">
        <v>101</v>
      </c>
      <c r="E76" s="51" t="s">
        <v>337</v>
      </c>
      <c r="F76" s="51" t="s">
        <v>338</v>
      </c>
      <c r="G76" s="23" t="s">
        <v>314</v>
      </c>
      <c r="H76" s="23" t="s">
        <v>66</v>
      </c>
      <c r="I76" s="23" t="n">
        <f aca="false">COUNTIFS('Problem Tracker'!$C:$C,"Trees",'Problem Tracker'!$D:$D,"BFS / Level Order",'Problem Tracker'!$E:$E,"Vertical Order / Distance from Node")</f>
        <v>3</v>
      </c>
      <c r="J76" s="24" t="n">
        <f aca="false">COUNTIFS('Problem Tracker'!$C:$C,"Trees",'Problem Tracker'!$D:$D,"BFS / Level Order",'Problem Tracker'!$E:$E,"Vertical Order / Distance from Node",'Problem Tracker'!$H:$H,"Easy")</f>
        <v>0</v>
      </c>
      <c r="K76" s="25" t="n">
        <f aca="false">COUNTIFS('Problem Tracker'!$C:$C,"Trees",'Problem Tracker'!$D:$D,"BFS / Level Order",'Problem Tracker'!$E:$E,"Vertical Order / Distance from Node",'Problem Tracker'!$H:$H,"Medium")</f>
        <v>2</v>
      </c>
      <c r="L76" s="26" t="n">
        <f aca="false">COUNTIFS('Problem Tracker'!$C:$C,"Trees",'Problem Tracker'!$D:$D,"BFS / Level Order",'Problem Tracker'!$E:$E,"Vertical Order / Distance from Node",'Problem Tracker'!$H:$H,"Hard")</f>
        <v>1</v>
      </c>
      <c r="M76" s="23" t="n">
        <f aca="false">COUNTIFS('Problem Tracker'!$C:$C,"Trees",'Problem Tracker'!$D:$D,"BFS / Level Order",'Problem Tracker'!$E:$E,"Vertical Order / Distance from Node",'Problem Tracker'!$M:$M,"Solved")+COUNTIFS('Problem Tracker'!$C:$C,"Trees",'Problem Tracker'!$D:$D,"BFS / Level Order",'Problem Tracker'!$E:$E,"Vertical Order / Distance from Node",'Problem Tracker'!$M:$M,"Mastered")</f>
        <v>0</v>
      </c>
      <c r="N76" s="28" t="n">
        <f aca="false">IF(I76=0,0,M76/I76)</f>
        <v>0</v>
      </c>
    </row>
    <row r="77" customFormat="false" ht="23.85" hidden="false" customHeight="false" outlineLevel="0" collapsed="false">
      <c r="A77" s="104" t="s">
        <v>35</v>
      </c>
      <c r="B77" s="37" t="s">
        <v>339</v>
      </c>
      <c r="C77" s="105" t="s">
        <v>340</v>
      </c>
      <c r="D77" s="58" t="s">
        <v>92</v>
      </c>
      <c r="E77" s="51" t="s">
        <v>341</v>
      </c>
      <c r="F77" s="51" t="s">
        <v>342</v>
      </c>
      <c r="G77" s="23" t="s">
        <v>99</v>
      </c>
      <c r="H77" s="23" t="s">
        <v>68</v>
      </c>
      <c r="I77" s="23" t="n">
        <f aca="false">COUNTIFS('Problem Tracker'!$C:$C,"Trees",'Problem Tracker'!$D:$D,"Recursive Return Values",'Problem Tracker'!$E:$E,"Bottom-up (Height / Diameter / Balance)")</f>
        <v>5</v>
      </c>
      <c r="J77" s="24" t="n">
        <f aca="false">COUNTIFS('Problem Tracker'!$C:$C,"Trees",'Problem Tracker'!$D:$D,"Recursive Return Values",'Problem Tracker'!$E:$E,"Bottom-up (Height / Diameter / Balance)",'Problem Tracker'!$H:$H,"Easy")</f>
        <v>4</v>
      </c>
      <c r="K77" s="25" t="n">
        <f aca="false">COUNTIFS('Problem Tracker'!$C:$C,"Trees",'Problem Tracker'!$D:$D,"Recursive Return Values",'Problem Tracker'!$E:$E,"Bottom-up (Height / Diameter / Balance)",'Problem Tracker'!$H:$H,"Medium")</f>
        <v>0</v>
      </c>
      <c r="L77" s="26" t="n">
        <f aca="false">COUNTIFS('Problem Tracker'!$C:$C,"Trees",'Problem Tracker'!$D:$D,"Recursive Return Values",'Problem Tracker'!$E:$E,"Bottom-up (Height / Diameter / Balance)",'Problem Tracker'!$H:$H,"Hard")</f>
        <v>1</v>
      </c>
      <c r="M77" s="23" t="n">
        <f aca="false">COUNTIFS('Problem Tracker'!$C:$C,"Trees",'Problem Tracker'!$D:$D,"Recursive Return Values",'Problem Tracker'!$E:$E,"Bottom-up (Height / Diameter / Balance)",'Problem Tracker'!$M:$M,"Solved")+COUNTIFS('Problem Tracker'!$C:$C,"Trees",'Problem Tracker'!$D:$D,"Recursive Return Values",'Problem Tracker'!$E:$E,"Bottom-up (Height / Diameter / Balance)",'Problem Tracker'!$M:$M,"Mastered")</f>
        <v>0</v>
      </c>
      <c r="N77" s="28" t="n">
        <f aca="false">IF(I77=0,0,M77/I77)</f>
        <v>0</v>
      </c>
    </row>
    <row r="78" customFormat="false" ht="15" hidden="false" customHeight="false" outlineLevel="0" collapsed="false">
      <c r="A78" s="104" t="s">
        <v>35</v>
      </c>
      <c r="B78" s="37" t="s">
        <v>339</v>
      </c>
      <c r="C78" s="105" t="s">
        <v>343</v>
      </c>
      <c r="D78" s="58" t="s">
        <v>92</v>
      </c>
      <c r="E78" s="51" t="s">
        <v>344</v>
      </c>
      <c r="F78" s="51" t="s">
        <v>345</v>
      </c>
      <c r="G78" s="23" t="s">
        <v>99</v>
      </c>
      <c r="H78" s="23" t="s">
        <v>68</v>
      </c>
      <c r="I78" s="23" t="n">
        <f aca="false">COUNTIFS('Problem Tracker'!$C:$C,"Trees",'Problem Tracker'!$D:$D,"Recursive Return Values",'Problem Tracker'!$E:$E,"Top-down (Root-to-Leaf Paths)")</f>
        <v>7</v>
      </c>
      <c r="J78" s="24" t="n">
        <f aca="false">COUNTIFS('Problem Tracker'!$C:$C,"Trees",'Problem Tracker'!$D:$D,"Recursive Return Values",'Problem Tracker'!$E:$E,"Top-down (Root-to-Leaf Paths)",'Problem Tracker'!$H:$H,"Easy")</f>
        <v>2</v>
      </c>
      <c r="K78" s="25" t="n">
        <f aca="false">COUNTIFS('Problem Tracker'!$C:$C,"Trees",'Problem Tracker'!$D:$D,"Recursive Return Values",'Problem Tracker'!$E:$E,"Top-down (Root-to-Leaf Paths)",'Problem Tracker'!$H:$H,"Medium")</f>
        <v>5</v>
      </c>
      <c r="L78" s="26" t="n">
        <f aca="false">COUNTIFS('Problem Tracker'!$C:$C,"Trees",'Problem Tracker'!$D:$D,"Recursive Return Values",'Problem Tracker'!$E:$E,"Top-down (Root-to-Leaf Paths)",'Problem Tracker'!$H:$H,"Hard")</f>
        <v>0</v>
      </c>
      <c r="M78" s="23" t="n">
        <f aca="false">COUNTIFS('Problem Tracker'!$C:$C,"Trees",'Problem Tracker'!$D:$D,"Recursive Return Values",'Problem Tracker'!$E:$E,"Top-down (Root-to-Leaf Paths)",'Problem Tracker'!$M:$M,"Solved")+COUNTIFS('Problem Tracker'!$C:$C,"Trees",'Problem Tracker'!$D:$D,"Recursive Return Values",'Problem Tracker'!$E:$E,"Top-down (Root-to-Leaf Paths)",'Problem Tracker'!$M:$M,"Mastered")</f>
        <v>0</v>
      </c>
      <c r="N78" s="28" t="n">
        <f aca="false">IF(I78=0,0,M78/I78)</f>
        <v>0</v>
      </c>
    </row>
    <row r="79" customFormat="false" ht="15" hidden="false" customHeight="false" outlineLevel="0" collapsed="false">
      <c r="A79" s="104" t="s">
        <v>35</v>
      </c>
      <c r="B79" s="37" t="s">
        <v>339</v>
      </c>
      <c r="C79" s="105" t="s">
        <v>346</v>
      </c>
      <c r="D79" s="58" t="s">
        <v>92</v>
      </c>
      <c r="E79" s="51" t="s">
        <v>347</v>
      </c>
      <c r="F79" s="51" t="s">
        <v>348</v>
      </c>
      <c r="G79" s="23" t="s">
        <v>99</v>
      </c>
      <c r="H79" s="23" t="s">
        <v>68</v>
      </c>
      <c r="I79" s="23" t="n">
        <f aca="false">COUNTIFS('Problem Tracker'!$C:$C,"Trees",'Problem Tracker'!$D:$D,"Recursive Return Values",'Problem Tracker'!$E:$E,"Lowest Common Ancestor")</f>
        <v>3</v>
      </c>
      <c r="J79" s="24" t="n">
        <f aca="false">COUNTIFS('Problem Tracker'!$C:$C,"Trees",'Problem Tracker'!$D:$D,"Recursive Return Values",'Problem Tracker'!$E:$E,"Lowest Common Ancestor",'Problem Tracker'!$H:$H,"Easy")</f>
        <v>0</v>
      </c>
      <c r="K79" s="25" t="n">
        <f aca="false">COUNTIFS('Problem Tracker'!$C:$C,"Trees",'Problem Tracker'!$D:$D,"Recursive Return Values",'Problem Tracker'!$E:$E,"Lowest Common Ancestor",'Problem Tracker'!$H:$H,"Medium")</f>
        <v>3</v>
      </c>
      <c r="L79" s="26" t="n">
        <f aca="false">COUNTIFS('Problem Tracker'!$C:$C,"Trees",'Problem Tracker'!$D:$D,"Recursive Return Values",'Problem Tracker'!$E:$E,"Lowest Common Ancestor",'Problem Tracker'!$H:$H,"Hard")</f>
        <v>0</v>
      </c>
      <c r="M79" s="23" t="n">
        <f aca="false">COUNTIFS('Problem Tracker'!$C:$C,"Trees",'Problem Tracker'!$D:$D,"Recursive Return Values",'Problem Tracker'!$E:$E,"Lowest Common Ancestor",'Problem Tracker'!$M:$M,"Solved")+COUNTIFS('Problem Tracker'!$C:$C,"Trees",'Problem Tracker'!$D:$D,"Recursive Return Values",'Problem Tracker'!$E:$E,"Lowest Common Ancestor",'Problem Tracker'!$M:$M,"Mastered")</f>
        <v>0</v>
      </c>
      <c r="N79" s="28" t="n">
        <f aca="false">IF(I79=0,0,M79/I79)</f>
        <v>0</v>
      </c>
    </row>
    <row r="80" customFormat="false" ht="23.85" hidden="false" customHeight="false" outlineLevel="0" collapsed="false">
      <c r="A80" s="104" t="s">
        <v>35</v>
      </c>
      <c r="B80" s="37" t="s">
        <v>349</v>
      </c>
      <c r="C80" s="105" t="s">
        <v>350</v>
      </c>
      <c r="D80" s="59" t="s">
        <v>101</v>
      </c>
      <c r="E80" s="51" t="s">
        <v>351</v>
      </c>
      <c r="F80" s="51" t="s">
        <v>352</v>
      </c>
      <c r="G80" s="23" t="s">
        <v>353</v>
      </c>
      <c r="H80" s="23" t="s">
        <v>68</v>
      </c>
      <c r="I80" s="23" t="n">
        <f aca="false">COUNTIFS('Problem Tracker'!$C:$C,"Trees",'Problem Tracker'!$D:$D,"Binary Search Tree",'Problem Tracker'!$E:$E,"BST Operations")</f>
        <v>4</v>
      </c>
      <c r="J80" s="24" t="n">
        <f aca="false">COUNTIFS('Problem Tracker'!$C:$C,"Trees",'Problem Tracker'!$D:$D,"Binary Search Tree",'Problem Tracker'!$E:$E,"BST Operations",'Problem Tracker'!$H:$H,"Easy")</f>
        <v>2</v>
      </c>
      <c r="K80" s="25" t="n">
        <f aca="false">COUNTIFS('Problem Tracker'!$C:$C,"Trees",'Problem Tracker'!$D:$D,"Binary Search Tree",'Problem Tracker'!$E:$E,"BST Operations",'Problem Tracker'!$H:$H,"Medium")</f>
        <v>2</v>
      </c>
      <c r="L80" s="26" t="n">
        <f aca="false">COUNTIFS('Problem Tracker'!$C:$C,"Trees",'Problem Tracker'!$D:$D,"Binary Search Tree",'Problem Tracker'!$E:$E,"BST Operations",'Problem Tracker'!$H:$H,"Hard")</f>
        <v>0</v>
      </c>
      <c r="M80" s="23" t="n">
        <f aca="false">COUNTIFS('Problem Tracker'!$C:$C,"Trees",'Problem Tracker'!$D:$D,"Binary Search Tree",'Problem Tracker'!$E:$E,"BST Operations",'Problem Tracker'!$M:$M,"Solved")+COUNTIFS('Problem Tracker'!$C:$C,"Trees",'Problem Tracker'!$D:$D,"Binary Search Tree",'Problem Tracker'!$E:$E,"BST Operations",'Problem Tracker'!$M:$M,"Mastered")</f>
        <v>0</v>
      </c>
      <c r="N80" s="28" t="n">
        <f aca="false">IF(I80=0,0,M80/I80)</f>
        <v>0</v>
      </c>
    </row>
    <row r="81" customFormat="false" ht="15" hidden="false" customHeight="false" outlineLevel="0" collapsed="false">
      <c r="A81" s="104" t="s">
        <v>35</v>
      </c>
      <c r="B81" s="37" t="s">
        <v>349</v>
      </c>
      <c r="C81" s="105" t="s">
        <v>354</v>
      </c>
      <c r="D81" s="58" t="s">
        <v>92</v>
      </c>
      <c r="E81" s="51" t="s">
        <v>355</v>
      </c>
      <c r="F81" s="51" t="s">
        <v>356</v>
      </c>
      <c r="G81" s="23" t="s">
        <v>357</v>
      </c>
      <c r="H81" s="23" t="s">
        <v>68</v>
      </c>
      <c r="I81" s="23" t="n">
        <f aca="false">COUNTIFS('Problem Tracker'!$C:$C,"Trees",'Problem Tracker'!$D:$D,"Binary Search Tree",'Problem Tracker'!$E:$E,"BST Validation &amp; In-order Property")</f>
        <v>5</v>
      </c>
      <c r="J81" s="24" t="n">
        <f aca="false">COUNTIFS('Problem Tracker'!$C:$C,"Trees",'Problem Tracker'!$D:$D,"Binary Search Tree",'Problem Tracker'!$E:$E,"BST Validation &amp; In-order Property",'Problem Tracker'!$H:$H,"Easy")</f>
        <v>1</v>
      </c>
      <c r="K81" s="25" t="n">
        <f aca="false">COUNTIFS('Problem Tracker'!$C:$C,"Trees",'Problem Tracker'!$D:$D,"Binary Search Tree",'Problem Tracker'!$E:$E,"BST Validation &amp; In-order Property",'Problem Tracker'!$H:$H,"Medium")</f>
        <v>4</v>
      </c>
      <c r="L81" s="26" t="n">
        <f aca="false">COUNTIFS('Problem Tracker'!$C:$C,"Trees",'Problem Tracker'!$D:$D,"Binary Search Tree",'Problem Tracker'!$E:$E,"BST Validation &amp; In-order Property",'Problem Tracker'!$H:$H,"Hard")</f>
        <v>0</v>
      </c>
      <c r="M81" s="23" t="n">
        <f aca="false">COUNTIFS('Problem Tracker'!$C:$C,"Trees",'Problem Tracker'!$D:$D,"Binary Search Tree",'Problem Tracker'!$E:$E,"BST Validation &amp; In-order Property",'Problem Tracker'!$M:$M,"Solved")+COUNTIFS('Problem Tracker'!$C:$C,"Trees",'Problem Tracker'!$D:$D,"Binary Search Tree",'Problem Tracker'!$E:$E,"BST Validation &amp; In-order Property",'Problem Tracker'!$M:$M,"Mastered")</f>
        <v>0</v>
      </c>
      <c r="N81" s="28" t="n">
        <f aca="false">IF(I81=0,0,M81/I81)</f>
        <v>0</v>
      </c>
    </row>
    <row r="82" customFormat="false" ht="23.85" hidden="false" customHeight="false" outlineLevel="0" collapsed="false">
      <c r="A82" s="104" t="s">
        <v>35</v>
      </c>
      <c r="B82" s="37" t="s">
        <v>358</v>
      </c>
      <c r="C82" s="105" t="s">
        <v>359</v>
      </c>
      <c r="D82" s="58" t="s">
        <v>92</v>
      </c>
      <c r="E82" s="51" t="s">
        <v>360</v>
      </c>
      <c r="F82" s="51" t="s">
        <v>361</v>
      </c>
      <c r="G82" s="23" t="s">
        <v>99</v>
      </c>
      <c r="H82" s="23" t="s">
        <v>68</v>
      </c>
      <c r="I82" s="23" t="n">
        <f aca="false">COUNTIFS('Problem Tracker'!$C:$C,"Trees",'Problem Tracker'!$D:$D,"Construction &amp; Serialization",'Problem Tracker'!$E:$E,"Build Tree from Traversals")</f>
        <v>4</v>
      </c>
      <c r="J82" s="24" t="n">
        <f aca="false">COUNTIFS('Problem Tracker'!$C:$C,"Trees",'Problem Tracker'!$D:$D,"Construction &amp; Serialization",'Problem Tracker'!$E:$E,"Build Tree from Traversals",'Problem Tracker'!$H:$H,"Easy")</f>
        <v>0</v>
      </c>
      <c r="K82" s="25" t="n">
        <f aca="false">COUNTIFS('Problem Tracker'!$C:$C,"Trees",'Problem Tracker'!$D:$D,"Construction &amp; Serialization",'Problem Tracker'!$E:$E,"Build Tree from Traversals",'Problem Tracker'!$H:$H,"Medium")</f>
        <v>4</v>
      </c>
      <c r="L82" s="26" t="n">
        <f aca="false">COUNTIFS('Problem Tracker'!$C:$C,"Trees",'Problem Tracker'!$D:$D,"Construction &amp; Serialization",'Problem Tracker'!$E:$E,"Build Tree from Traversals",'Problem Tracker'!$H:$H,"Hard")</f>
        <v>0</v>
      </c>
      <c r="M82" s="23" t="n">
        <f aca="false">COUNTIFS('Problem Tracker'!$C:$C,"Trees",'Problem Tracker'!$D:$D,"Construction &amp; Serialization",'Problem Tracker'!$E:$E,"Build Tree from Traversals",'Problem Tracker'!$M:$M,"Solved")+COUNTIFS('Problem Tracker'!$C:$C,"Trees",'Problem Tracker'!$D:$D,"Construction &amp; Serialization",'Problem Tracker'!$E:$E,"Build Tree from Traversals",'Problem Tracker'!$M:$M,"Mastered")</f>
        <v>0</v>
      </c>
      <c r="N82" s="28" t="n">
        <f aca="false">IF(I82=0,0,M82/I82)</f>
        <v>0</v>
      </c>
    </row>
    <row r="83" customFormat="false" ht="23.85" hidden="false" customHeight="false" outlineLevel="0" collapsed="false">
      <c r="A83" s="104" t="s">
        <v>35</v>
      </c>
      <c r="B83" s="37" t="s">
        <v>358</v>
      </c>
      <c r="C83" s="105" t="s">
        <v>362</v>
      </c>
      <c r="D83" s="58" t="s">
        <v>92</v>
      </c>
      <c r="E83" s="51" t="s">
        <v>363</v>
      </c>
      <c r="F83" s="51" t="s">
        <v>364</v>
      </c>
      <c r="G83" s="23" t="s">
        <v>99</v>
      </c>
      <c r="H83" s="23" t="s">
        <v>68</v>
      </c>
      <c r="I83" s="23" t="n">
        <f aca="false">COUNTIFS('Problem Tracker'!$C:$C,"Trees",'Problem Tracker'!$D:$D,"Construction &amp; Serialization",'Problem Tracker'!$E:$E,"Serialize / Flatten")</f>
        <v>3</v>
      </c>
      <c r="J83" s="24" t="n">
        <f aca="false">COUNTIFS('Problem Tracker'!$C:$C,"Trees",'Problem Tracker'!$D:$D,"Construction &amp; Serialization",'Problem Tracker'!$E:$E,"Serialize / Flatten",'Problem Tracker'!$H:$H,"Easy")</f>
        <v>0</v>
      </c>
      <c r="K83" s="25" t="n">
        <f aca="false">COUNTIFS('Problem Tracker'!$C:$C,"Trees",'Problem Tracker'!$D:$D,"Construction &amp; Serialization",'Problem Tracker'!$E:$E,"Serialize / Flatten",'Problem Tracker'!$H:$H,"Medium")</f>
        <v>2</v>
      </c>
      <c r="L83" s="26" t="n">
        <f aca="false">COUNTIFS('Problem Tracker'!$C:$C,"Trees",'Problem Tracker'!$D:$D,"Construction &amp; Serialization",'Problem Tracker'!$E:$E,"Serialize / Flatten",'Problem Tracker'!$H:$H,"Hard")</f>
        <v>1</v>
      </c>
      <c r="M83" s="23" t="n">
        <f aca="false">COUNTIFS('Problem Tracker'!$C:$C,"Trees",'Problem Tracker'!$D:$D,"Construction &amp; Serialization",'Problem Tracker'!$E:$E,"Serialize / Flatten",'Problem Tracker'!$M:$M,"Solved")+COUNTIFS('Problem Tracker'!$C:$C,"Trees",'Problem Tracker'!$D:$D,"Construction &amp; Serialization",'Problem Tracker'!$E:$E,"Serialize / Flatten",'Problem Tracker'!$M:$M,"Mastered")</f>
        <v>0</v>
      </c>
      <c r="N83" s="28" t="n">
        <f aca="false">IF(I83=0,0,M83/I83)</f>
        <v>0</v>
      </c>
    </row>
    <row r="84" customFormat="false" ht="26.85" hidden="false" customHeight="false" outlineLevel="0" collapsed="false">
      <c r="A84" s="106" t="s">
        <v>365</v>
      </c>
      <c r="B84" s="107"/>
      <c r="C84" s="107"/>
      <c r="D84" s="107"/>
      <c r="E84" s="107"/>
      <c r="F84" s="107"/>
      <c r="G84" s="107"/>
      <c r="H84" s="107"/>
      <c r="I84" s="107" t="n">
        <f aca="false">COUNTIF('Problem Tracker'!$C:$C,"Heap / Priority Queue")</f>
        <v>19</v>
      </c>
      <c r="J84" s="107"/>
      <c r="K84" s="107"/>
      <c r="L84" s="107"/>
      <c r="M84" s="107" t="n">
        <f aca="false">COUNTIFS('Problem Tracker'!$C:$C,"Heap / Priority Queue",'Problem Tracker'!$M:$M,"Solved")+COUNTIFS('Problem Tracker'!$C:$C,"Heap / Priority Queue",'Problem Tracker'!$M:$M,"Mastered")</f>
        <v>0</v>
      </c>
      <c r="N84" s="108" t="n">
        <f aca="false">IF(I84=0,0,M84/I84)</f>
        <v>0</v>
      </c>
    </row>
    <row r="85" customFormat="false" ht="15" hidden="false" customHeight="false" outlineLevel="0" collapsed="false">
      <c r="A85" s="109" t="s">
        <v>37</v>
      </c>
      <c r="B85" s="38" t="s">
        <v>366</v>
      </c>
      <c r="C85" s="110" t="s">
        <v>367</v>
      </c>
      <c r="D85" s="58" t="s">
        <v>92</v>
      </c>
      <c r="E85" s="51" t="s">
        <v>368</v>
      </c>
      <c r="F85" s="51" t="s">
        <v>369</v>
      </c>
      <c r="G85" s="23" t="s">
        <v>370</v>
      </c>
      <c r="H85" s="23" t="s">
        <v>38</v>
      </c>
      <c r="I85" s="23" t="n">
        <f aca="false">COUNTIFS('Problem Tracker'!$C:$C,"Heap / Priority Queue",'Problem Tracker'!$D:$D,"Heap Patterns",'Problem Tracker'!$E:$E,"Top-K Elements")</f>
        <v>6</v>
      </c>
      <c r="J85" s="24" t="n">
        <f aca="false">COUNTIFS('Problem Tracker'!$C:$C,"Heap / Priority Queue",'Problem Tracker'!$D:$D,"Heap Patterns",'Problem Tracker'!$E:$E,"Top-K Elements",'Problem Tracker'!$H:$H,"Easy")</f>
        <v>2</v>
      </c>
      <c r="K85" s="25" t="n">
        <f aca="false">COUNTIFS('Problem Tracker'!$C:$C,"Heap / Priority Queue",'Problem Tracker'!$D:$D,"Heap Patterns",'Problem Tracker'!$E:$E,"Top-K Elements",'Problem Tracker'!$H:$H,"Medium")</f>
        <v>4</v>
      </c>
      <c r="L85" s="26" t="n">
        <f aca="false">COUNTIFS('Problem Tracker'!$C:$C,"Heap / Priority Queue",'Problem Tracker'!$D:$D,"Heap Patterns",'Problem Tracker'!$E:$E,"Top-K Elements",'Problem Tracker'!$H:$H,"Hard")</f>
        <v>0</v>
      </c>
      <c r="M85" s="23" t="n">
        <f aca="false">COUNTIFS('Problem Tracker'!$C:$C,"Heap / Priority Queue",'Problem Tracker'!$D:$D,"Heap Patterns",'Problem Tracker'!$E:$E,"Top-K Elements",'Problem Tracker'!$M:$M,"Solved")+COUNTIFS('Problem Tracker'!$C:$C,"Heap / Priority Queue",'Problem Tracker'!$D:$D,"Heap Patterns",'Problem Tracker'!$E:$E,"Top-K Elements",'Problem Tracker'!$M:$M,"Mastered")</f>
        <v>0</v>
      </c>
      <c r="N85" s="28" t="n">
        <f aca="false">IF(I85=0,0,M85/I85)</f>
        <v>0</v>
      </c>
    </row>
    <row r="86" customFormat="false" ht="15" hidden="false" customHeight="false" outlineLevel="0" collapsed="false">
      <c r="A86" s="109" t="s">
        <v>37</v>
      </c>
      <c r="B86" s="38" t="s">
        <v>366</v>
      </c>
      <c r="C86" s="110" t="s">
        <v>371</v>
      </c>
      <c r="D86" s="58" t="s">
        <v>92</v>
      </c>
      <c r="E86" s="51" t="s">
        <v>372</v>
      </c>
      <c r="F86" s="51" t="s">
        <v>373</v>
      </c>
      <c r="G86" s="23" t="s">
        <v>374</v>
      </c>
      <c r="H86" s="23" t="s">
        <v>38</v>
      </c>
      <c r="I86" s="23" t="n">
        <f aca="false">COUNTIFS('Problem Tracker'!$C:$C,"Heap / Priority Queue",'Problem Tracker'!$D:$D,"Heap Patterns",'Problem Tracker'!$E:$E,"K-way Merge")</f>
        <v>3</v>
      </c>
      <c r="J86" s="24" t="n">
        <f aca="false">COUNTIFS('Problem Tracker'!$C:$C,"Heap / Priority Queue",'Problem Tracker'!$D:$D,"Heap Patterns",'Problem Tracker'!$E:$E,"K-way Merge",'Problem Tracker'!$H:$H,"Easy")</f>
        <v>0</v>
      </c>
      <c r="K86" s="25" t="n">
        <f aca="false">COUNTIFS('Problem Tracker'!$C:$C,"Heap / Priority Queue",'Problem Tracker'!$D:$D,"Heap Patterns",'Problem Tracker'!$E:$E,"K-way Merge",'Problem Tracker'!$H:$H,"Medium")</f>
        <v>1</v>
      </c>
      <c r="L86" s="26" t="n">
        <f aca="false">COUNTIFS('Problem Tracker'!$C:$C,"Heap / Priority Queue",'Problem Tracker'!$D:$D,"Heap Patterns",'Problem Tracker'!$E:$E,"K-way Merge",'Problem Tracker'!$H:$H,"Hard")</f>
        <v>2</v>
      </c>
      <c r="M86" s="23" t="n">
        <f aca="false">COUNTIFS('Problem Tracker'!$C:$C,"Heap / Priority Queue",'Problem Tracker'!$D:$D,"Heap Patterns",'Problem Tracker'!$E:$E,"K-way Merge",'Problem Tracker'!$M:$M,"Solved")+COUNTIFS('Problem Tracker'!$C:$C,"Heap / Priority Queue",'Problem Tracker'!$D:$D,"Heap Patterns",'Problem Tracker'!$E:$E,"K-way Merge",'Problem Tracker'!$M:$M,"Mastered")</f>
        <v>0</v>
      </c>
      <c r="N86" s="28" t="n">
        <f aca="false">IF(I86=0,0,M86/I86)</f>
        <v>0</v>
      </c>
    </row>
    <row r="87" customFormat="false" ht="15" hidden="false" customHeight="false" outlineLevel="0" collapsed="false">
      <c r="A87" s="109" t="s">
        <v>37</v>
      </c>
      <c r="B87" s="38" t="s">
        <v>366</v>
      </c>
      <c r="C87" s="110" t="s">
        <v>375</v>
      </c>
      <c r="D87" s="58" t="s">
        <v>92</v>
      </c>
      <c r="E87" s="51" t="s">
        <v>376</v>
      </c>
      <c r="F87" s="51" t="s">
        <v>377</v>
      </c>
      <c r="G87" s="23" t="s">
        <v>378</v>
      </c>
      <c r="H87" s="23" t="s">
        <v>38</v>
      </c>
      <c r="I87" s="23" t="n">
        <f aca="false">COUNTIFS('Problem Tracker'!$C:$C,"Heap / Priority Queue",'Problem Tracker'!$D:$D,"Heap Patterns",'Problem Tracker'!$E:$E,"Two Heaps")</f>
        <v>3</v>
      </c>
      <c r="J87" s="24" t="n">
        <f aca="false">COUNTIFS('Problem Tracker'!$C:$C,"Heap / Priority Queue",'Problem Tracker'!$D:$D,"Heap Patterns",'Problem Tracker'!$E:$E,"Two Heaps",'Problem Tracker'!$H:$H,"Easy")</f>
        <v>0</v>
      </c>
      <c r="K87" s="25" t="n">
        <f aca="false">COUNTIFS('Problem Tracker'!$C:$C,"Heap / Priority Queue",'Problem Tracker'!$D:$D,"Heap Patterns",'Problem Tracker'!$E:$E,"Two Heaps",'Problem Tracker'!$H:$H,"Medium")</f>
        <v>0</v>
      </c>
      <c r="L87" s="26" t="n">
        <f aca="false">COUNTIFS('Problem Tracker'!$C:$C,"Heap / Priority Queue",'Problem Tracker'!$D:$D,"Heap Patterns",'Problem Tracker'!$E:$E,"Two Heaps",'Problem Tracker'!$H:$H,"Hard")</f>
        <v>3</v>
      </c>
      <c r="M87" s="23" t="n">
        <f aca="false">COUNTIFS('Problem Tracker'!$C:$C,"Heap / Priority Queue",'Problem Tracker'!$D:$D,"Heap Patterns",'Problem Tracker'!$E:$E,"Two Heaps",'Problem Tracker'!$M:$M,"Solved")+COUNTIFS('Problem Tracker'!$C:$C,"Heap / Priority Queue",'Problem Tracker'!$D:$D,"Heap Patterns",'Problem Tracker'!$E:$E,"Two Heaps",'Problem Tracker'!$M:$M,"Mastered")</f>
        <v>0</v>
      </c>
      <c r="N87" s="28" t="n">
        <f aca="false">IF(I87=0,0,M87/I87)</f>
        <v>0</v>
      </c>
    </row>
    <row r="88" customFormat="false" ht="23.85" hidden="false" customHeight="false" outlineLevel="0" collapsed="false">
      <c r="A88" s="109" t="s">
        <v>37</v>
      </c>
      <c r="B88" s="38" t="s">
        <v>366</v>
      </c>
      <c r="C88" s="110" t="s">
        <v>379</v>
      </c>
      <c r="D88" s="59" t="s">
        <v>101</v>
      </c>
      <c r="E88" s="51" t="s">
        <v>380</v>
      </c>
      <c r="F88" s="51" t="s">
        <v>381</v>
      </c>
      <c r="G88" s="23" t="s">
        <v>314</v>
      </c>
      <c r="H88" s="23" t="s">
        <v>38</v>
      </c>
      <c r="I88" s="23" t="n">
        <f aca="false">COUNTIFS('Problem Tracker'!$C:$C,"Heap / Priority Queue",'Problem Tracker'!$D:$D,"Heap Patterns",'Problem Tracker'!$E:$E,"Greedy Scheduling with Heap")</f>
        <v>7</v>
      </c>
      <c r="J88" s="24" t="n">
        <f aca="false">COUNTIFS('Problem Tracker'!$C:$C,"Heap / Priority Queue",'Problem Tracker'!$D:$D,"Heap Patterns",'Problem Tracker'!$E:$E,"Greedy Scheduling with Heap",'Problem Tracker'!$H:$H,"Easy")</f>
        <v>0</v>
      </c>
      <c r="K88" s="25" t="n">
        <f aca="false">COUNTIFS('Problem Tracker'!$C:$C,"Heap / Priority Queue",'Problem Tracker'!$D:$D,"Heap Patterns",'Problem Tracker'!$E:$E,"Greedy Scheduling with Heap",'Problem Tracker'!$H:$H,"Medium")</f>
        <v>5</v>
      </c>
      <c r="L88" s="26" t="n">
        <f aca="false">COUNTIFS('Problem Tracker'!$C:$C,"Heap / Priority Queue",'Problem Tracker'!$D:$D,"Heap Patterns",'Problem Tracker'!$E:$E,"Greedy Scheduling with Heap",'Problem Tracker'!$H:$H,"Hard")</f>
        <v>2</v>
      </c>
      <c r="M88" s="23" t="n">
        <f aca="false">COUNTIFS('Problem Tracker'!$C:$C,"Heap / Priority Queue",'Problem Tracker'!$D:$D,"Heap Patterns",'Problem Tracker'!$E:$E,"Greedy Scheduling with Heap",'Problem Tracker'!$M:$M,"Solved")+COUNTIFS('Problem Tracker'!$C:$C,"Heap / Priority Queue",'Problem Tracker'!$D:$D,"Heap Patterns",'Problem Tracker'!$E:$E,"Greedy Scheduling with Heap",'Problem Tracker'!$M:$M,"Mastered")</f>
        <v>0</v>
      </c>
      <c r="N88" s="28" t="n">
        <f aca="false">IF(I88=0,0,M88/I88)</f>
        <v>0</v>
      </c>
    </row>
    <row r="89" customFormat="false" ht="26.85" hidden="false" customHeight="false" outlineLevel="0" collapsed="false">
      <c r="A89" s="111" t="s">
        <v>382</v>
      </c>
      <c r="B89" s="112"/>
      <c r="C89" s="112"/>
      <c r="D89" s="112"/>
      <c r="E89" s="112"/>
      <c r="F89" s="112"/>
      <c r="G89" s="112"/>
      <c r="H89" s="112"/>
      <c r="I89" s="112" t="n">
        <f aca="false">COUNTIF('Problem Tracker'!$C:$C,"Recursion &amp; Backtracking")</f>
        <v>27</v>
      </c>
      <c r="J89" s="112"/>
      <c r="K89" s="112"/>
      <c r="L89" s="112"/>
      <c r="M89" s="112" t="n">
        <f aca="false">COUNTIFS('Problem Tracker'!$C:$C,"Recursion &amp; Backtracking",'Problem Tracker'!$M:$M,"Solved")+COUNTIFS('Problem Tracker'!$C:$C,"Recursion &amp; Backtracking",'Problem Tracker'!$M:$M,"Mastered")</f>
        <v>0</v>
      </c>
      <c r="N89" s="113" t="n">
        <f aca="false">IF(I89=0,0,M89/I89)</f>
        <v>0</v>
      </c>
    </row>
    <row r="90" customFormat="false" ht="23.85" hidden="false" customHeight="false" outlineLevel="0" collapsed="false">
      <c r="A90" s="114" t="s">
        <v>39</v>
      </c>
      <c r="B90" s="39" t="s">
        <v>383</v>
      </c>
      <c r="C90" s="115" t="s">
        <v>384</v>
      </c>
      <c r="D90" s="59" t="s">
        <v>101</v>
      </c>
      <c r="E90" s="51" t="s">
        <v>385</v>
      </c>
      <c r="F90" s="51" t="s">
        <v>386</v>
      </c>
      <c r="G90" s="23" t="s">
        <v>387</v>
      </c>
      <c r="H90" s="23" t="s">
        <v>40</v>
      </c>
      <c r="I90" s="23" t="n">
        <f aca="false">COUNTIFS('Problem Tracker'!$C:$C,"Recursion &amp; Backtracking",'Problem Tracker'!$D:$D,"Recursion Basics",'Problem Tracker'!$E:$E,"Divide &amp; Recurse")</f>
        <v>5</v>
      </c>
      <c r="J90" s="24" t="n">
        <f aca="false">COUNTIFS('Problem Tracker'!$C:$C,"Recursion &amp; Backtracking",'Problem Tracker'!$D:$D,"Recursion Basics",'Problem Tracker'!$E:$E,"Divide &amp; Recurse",'Problem Tracker'!$H:$H,"Easy")</f>
        <v>1</v>
      </c>
      <c r="K90" s="25" t="n">
        <f aca="false">COUNTIFS('Problem Tracker'!$C:$C,"Recursion &amp; Backtracking",'Problem Tracker'!$D:$D,"Recursion Basics",'Problem Tracker'!$E:$E,"Divide &amp; Recurse",'Problem Tracker'!$H:$H,"Medium")</f>
        <v>4</v>
      </c>
      <c r="L90" s="26" t="n">
        <f aca="false">COUNTIFS('Problem Tracker'!$C:$C,"Recursion &amp; Backtracking",'Problem Tracker'!$D:$D,"Recursion Basics",'Problem Tracker'!$E:$E,"Divide &amp; Recurse",'Problem Tracker'!$H:$H,"Hard")</f>
        <v>0</v>
      </c>
      <c r="M90" s="23" t="n">
        <f aca="false">COUNTIFS('Problem Tracker'!$C:$C,"Recursion &amp; Backtracking",'Problem Tracker'!$D:$D,"Recursion Basics",'Problem Tracker'!$E:$E,"Divide &amp; Recurse",'Problem Tracker'!$M:$M,"Solved")+COUNTIFS('Problem Tracker'!$C:$C,"Recursion &amp; Backtracking",'Problem Tracker'!$D:$D,"Recursion Basics",'Problem Tracker'!$E:$E,"Divide &amp; Recurse",'Problem Tracker'!$M:$M,"Mastered")</f>
        <v>0</v>
      </c>
      <c r="N90" s="28" t="n">
        <f aca="false">IF(I90=0,0,M90/I90)</f>
        <v>0</v>
      </c>
    </row>
    <row r="91" customFormat="false" ht="23.85" hidden="false" customHeight="false" outlineLevel="0" collapsed="false">
      <c r="A91" s="114" t="s">
        <v>39</v>
      </c>
      <c r="B91" s="39" t="s">
        <v>388</v>
      </c>
      <c r="C91" s="115" t="s">
        <v>389</v>
      </c>
      <c r="D91" s="58" t="s">
        <v>92</v>
      </c>
      <c r="E91" s="51" t="s">
        <v>390</v>
      </c>
      <c r="F91" s="51" t="s">
        <v>391</v>
      </c>
      <c r="G91" s="23" t="s">
        <v>392</v>
      </c>
      <c r="H91" s="23" t="s">
        <v>40</v>
      </c>
      <c r="I91" s="23" t="n">
        <f aca="false">COUNTIFS('Problem Tracker'!$C:$C,"Recursion &amp; Backtracking",'Problem Tracker'!$D:$D,"Backtracking",'Problem Tracker'!$E:$E,"Subsets (Include / Exclude)")</f>
        <v>3</v>
      </c>
      <c r="J91" s="24" t="n">
        <f aca="false">COUNTIFS('Problem Tracker'!$C:$C,"Recursion &amp; Backtracking",'Problem Tracker'!$D:$D,"Backtracking",'Problem Tracker'!$E:$E,"Subsets (Include / Exclude)",'Problem Tracker'!$H:$H,"Easy")</f>
        <v>0</v>
      </c>
      <c r="K91" s="25" t="n">
        <f aca="false">COUNTIFS('Problem Tracker'!$C:$C,"Recursion &amp; Backtracking",'Problem Tracker'!$D:$D,"Backtracking",'Problem Tracker'!$E:$E,"Subsets (Include / Exclude)",'Problem Tracker'!$H:$H,"Medium")</f>
        <v>3</v>
      </c>
      <c r="L91" s="26" t="n">
        <f aca="false">COUNTIFS('Problem Tracker'!$C:$C,"Recursion &amp; Backtracking",'Problem Tracker'!$D:$D,"Backtracking",'Problem Tracker'!$E:$E,"Subsets (Include / Exclude)",'Problem Tracker'!$H:$H,"Hard")</f>
        <v>0</v>
      </c>
      <c r="M91" s="23" t="n">
        <f aca="false">COUNTIFS('Problem Tracker'!$C:$C,"Recursion &amp; Backtracking",'Problem Tracker'!$D:$D,"Backtracking",'Problem Tracker'!$E:$E,"Subsets (Include / Exclude)",'Problem Tracker'!$M:$M,"Solved")+COUNTIFS('Problem Tracker'!$C:$C,"Recursion &amp; Backtracking",'Problem Tracker'!$D:$D,"Backtracking",'Problem Tracker'!$E:$E,"Subsets (Include / Exclude)",'Problem Tracker'!$M:$M,"Mastered")</f>
        <v>0</v>
      </c>
      <c r="N91" s="28" t="n">
        <f aca="false">IF(I91=0,0,M91/I91)</f>
        <v>0</v>
      </c>
    </row>
    <row r="92" customFormat="false" ht="23.85" hidden="false" customHeight="false" outlineLevel="0" collapsed="false">
      <c r="A92" s="114" t="s">
        <v>39</v>
      </c>
      <c r="B92" s="39" t="s">
        <v>388</v>
      </c>
      <c r="C92" s="115" t="s">
        <v>393</v>
      </c>
      <c r="D92" s="58" t="s">
        <v>92</v>
      </c>
      <c r="E92" s="51" t="s">
        <v>394</v>
      </c>
      <c r="F92" s="51" t="s">
        <v>395</v>
      </c>
      <c r="G92" s="23" t="s">
        <v>396</v>
      </c>
      <c r="H92" s="23" t="s">
        <v>40</v>
      </c>
      <c r="I92" s="23" t="n">
        <f aca="false">COUNTIFS('Problem Tracker'!$C:$C,"Recursion &amp; Backtracking",'Problem Tracker'!$D:$D,"Backtracking",'Problem Tracker'!$E:$E,"Permutations")</f>
        <v>3</v>
      </c>
      <c r="J92" s="24" t="n">
        <f aca="false">COUNTIFS('Problem Tracker'!$C:$C,"Recursion &amp; Backtracking",'Problem Tracker'!$D:$D,"Backtracking",'Problem Tracker'!$E:$E,"Permutations",'Problem Tracker'!$H:$H,"Easy")</f>
        <v>0</v>
      </c>
      <c r="K92" s="25" t="n">
        <f aca="false">COUNTIFS('Problem Tracker'!$C:$C,"Recursion &amp; Backtracking",'Problem Tracker'!$D:$D,"Backtracking",'Problem Tracker'!$E:$E,"Permutations",'Problem Tracker'!$H:$H,"Medium")</f>
        <v>2</v>
      </c>
      <c r="L92" s="26" t="n">
        <f aca="false">COUNTIFS('Problem Tracker'!$C:$C,"Recursion &amp; Backtracking",'Problem Tracker'!$D:$D,"Backtracking",'Problem Tracker'!$E:$E,"Permutations",'Problem Tracker'!$H:$H,"Hard")</f>
        <v>1</v>
      </c>
      <c r="M92" s="23" t="n">
        <f aca="false">COUNTIFS('Problem Tracker'!$C:$C,"Recursion &amp; Backtracking",'Problem Tracker'!$D:$D,"Backtracking",'Problem Tracker'!$E:$E,"Permutations",'Problem Tracker'!$M:$M,"Solved")+COUNTIFS('Problem Tracker'!$C:$C,"Recursion &amp; Backtracking",'Problem Tracker'!$D:$D,"Backtracking",'Problem Tracker'!$E:$E,"Permutations",'Problem Tracker'!$M:$M,"Mastered")</f>
        <v>0</v>
      </c>
      <c r="N92" s="28" t="n">
        <f aca="false">IF(I92=0,0,M92/I92)</f>
        <v>0</v>
      </c>
    </row>
    <row r="93" customFormat="false" ht="23.85" hidden="false" customHeight="false" outlineLevel="0" collapsed="false">
      <c r="A93" s="114" t="s">
        <v>39</v>
      </c>
      <c r="B93" s="39" t="s">
        <v>388</v>
      </c>
      <c r="C93" s="115" t="s">
        <v>397</v>
      </c>
      <c r="D93" s="58" t="s">
        <v>92</v>
      </c>
      <c r="E93" s="51" t="s">
        <v>398</v>
      </c>
      <c r="F93" s="51" t="s">
        <v>399</v>
      </c>
      <c r="G93" s="23" t="s">
        <v>400</v>
      </c>
      <c r="H93" s="23" t="s">
        <v>40</v>
      </c>
      <c r="I93" s="23" t="n">
        <f aca="false">COUNTIFS('Problem Tracker'!$C:$C,"Recursion &amp; Backtracking",'Problem Tracker'!$D:$D,"Backtracking",'Problem Tracker'!$E:$E,"Combinations / Combination Sum")</f>
        <v>5</v>
      </c>
      <c r="J93" s="24" t="n">
        <f aca="false">COUNTIFS('Problem Tracker'!$C:$C,"Recursion &amp; Backtracking",'Problem Tracker'!$D:$D,"Backtracking",'Problem Tracker'!$E:$E,"Combinations / Combination Sum",'Problem Tracker'!$H:$H,"Easy")</f>
        <v>0</v>
      </c>
      <c r="K93" s="25" t="n">
        <f aca="false">COUNTIFS('Problem Tracker'!$C:$C,"Recursion &amp; Backtracking",'Problem Tracker'!$D:$D,"Backtracking",'Problem Tracker'!$E:$E,"Combinations / Combination Sum",'Problem Tracker'!$H:$H,"Medium")</f>
        <v>5</v>
      </c>
      <c r="L93" s="26" t="n">
        <f aca="false">COUNTIFS('Problem Tracker'!$C:$C,"Recursion &amp; Backtracking",'Problem Tracker'!$D:$D,"Backtracking",'Problem Tracker'!$E:$E,"Combinations / Combination Sum",'Problem Tracker'!$H:$H,"Hard")</f>
        <v>0</v>
      </c>
      <c r="M93" s="23" t="n">
        <f aca="false">COUNTIFS('Problem Tracker'!$C:$C,"Recursion &amp; Backtracking",'Problem Tracker'!$D:$D,"Backtracking",'Problem Tracker'!$E:$E,"Combinations / Combination Sum",'Problem Tracker'!$M:$M,"Solved")+COUNTIFS('Problem Tracker'!$C:$C,"Recursion &amp; Backtracking",'Problem Tracker'!$D:$D,"Backtracking",'Problem Tracker'!$E:$E,"Combinations / Combination Sum",'Problem Tracker'!$M:$M,"Mastered")</f>
        <v>0</v>
      </c>
      <c r="N93" s="28" t="n">
        <f aca="false">IF(I93=0,0,M93/I93)</f>
        <v>0</v>
      </c>
    </row>
    <row r="94" customFormat="false" ht="23.85" hidden="false" customHeight="false" outlineLevel="0" collapsed="false">
      <c r="A94" s="114" t="s">
        <v>39</v>
      </c>
      <c r="B94" s="39" t="s">
        <v>388</v>
      </c>
      <c r="C94" s="115" t="s">
        <v>401</v>
      </c>
      <c r="D94" s="59" t="s">
        <v>101</v>
      </c>
      <c r="E94" s="51" t="s">
        <v>402</v>
      </c>
      <c r="F94" s="51" t="s">
        <v>403</v>
      </c>
      <c r="G94" s="23" t="s">
        <v>404</v>
      </c>
      <c r="H94" s="23" t="s">
        <v>40</v>
      </c>
      <c r="I94" s="23" t="n">
        <f aca="false">COUNTIFS('Problem Tracker'!$C:$C,"Recursion &amp; Backtracking",'Problem Tracker'!$D:$D,"Backtracking",'Problem Tracker'!$E:$E,"Partitioning")</f>
        <v>4</v>
      </c>
      <c r="J94" s="24" t="n">
        <f aca="false">COUNTIFS('Problem Tracker'!$C:$C,"Recursion &amp; Backtracking",'Problem Tracker'!$D:$D,"Backtracking",'Problem Tracker'!$E:$E,"Partitioning",'Problem Tracker'!$H:$H,"Easy")</f>
        <v>0</v>
      </c>
      <c r="K94" s="25" t="n">
        <f aca="false">COUNTIFS('Problem Tracker'!$C:$C,"Recursion &amp; Backtracking",'Problem Tracker'!$D:$D,"Backtracking",'Problem Tracker'!$E:$E,"Partitioning",'Problem Tracker'!$H:$H,"Medium")</f>
        <v>3</v>
      </c>
      <c r="L94" s="26" t="n">
        <f aca="false">COUNTIFS('Problem Tracker'!$C:$C,"Recursion &amp; Backtracking",'Problem Tracker'!$D:$D,"Backtracking",'Problem Tracker'!$E:$E,"Partitioning",'Problem Tracker'!$H:$H,"Hard")</f>
        <v>1</v>
      </c>
      <c r="M94" s="23" t="n">
        <f aca="false">COUNTIFS('Problem Tracker'!$C:$C,"Recursion &amp; Backtracking",'Problem Tracker'!$D:$D,"Backtracking",'Problem Tracker'!$E:$E,"Partitioning",'Problem Tracker'!$M:$M,"Solved")+COUNTIFS('Problem Tracker'!$C:$C,"Recursion &amp; Backtracking",'Problem Tracker'!$D:$D,"Backtracking",'Problem Tracker'!$E:$E,"Partitioning",'Problem Tracker'!$M:$M,"Mastered")</f>
        <v>0</v>
      </c>
      <c r="N94" s="28" t="n">
        <f aca="false">IF(I94=0,0,M94/I94)</f>
        <v>0</v>
      </c>
    </row>
    <row r="95" customFormat="false" ht="23.85" hidden="false" customHeight="false" outlineLevel="0" collapsed="false">
      <c r="A95" s="114" t="s">
        <v>39</v>
      </c>
      <c r="B95" s="39" t="s">
        <v>388</v>
      </c>
      <c r="C95" s="115" t="s">
        <v>405</v>
      </c>
      <c r="D95" s="58" t="s">
        <v>92</v>
      </c>
      <c r="E95" s="51" t="s">
        <v>406</v>
      </c>
      <c r="F95" s="51" t="s">
        <v>407</v>
      </c>
      <c r="G95" s="23" t="s">
        <v>408</v>
      </c>
      <c r="H95" s="23" t="s">
        <v>40</v>
      </c>
      <c r="I95" s="23" t="n">
        <f aca="false">COUNTIFS('Problem Tracker'!$C:$C,"Recursion &amp; Backtracking",'Problem Tracker'!$D:$D,"Backtracking",'Problem Tracker'!$E:$E,"Generate Valid Structures")</f>
        <v>3</v>
      </c>
      <c r="J95" s="24" t="n">
        <f aca="false">COUNTIFS('Problem Tracker'!$C:$C,"Recursion &amp; Backtracking",'Problem Tracker'!$D:$D,"Backtracking",'Problem Tracker'!$E:$E,"Generate Valid Structures",'Problem Tracker'!$H:$H,"Easy")</f>
        <v>0</v>
      </c>
      <c r="K95" s="25" t="n">
        <f aca="false">COUNTIFS('Problem Tracker'!$C:$C,"Recursion &amp; Backtracking",'Problem Tracker'!$D:$D,"Backtracking",'Problem Tracker'!$E:$E,"Generate Valid Structures",'Problem Tracker'!$H:$H,"Medium")</f>
        <v>2</v>
      </c>
      <c r="L95" s="26" t="n">
        <f aca="false">COUNTIFS('Problem Tracker'!$C:$C,"Recursion &amp; Backtracking",'Problem Tracker'!$D:$D,"Backtracking",'Problem Tracker'!$E:$E,"Generate Valid Structures",'Problem Tracker'!$H:$H,"Hard")</f>
        <v>1</v>
      </c>
      <c r="M95" s="23" t="n">
        <f aca="false">COUNTIFS('Problem Tracker'!$C:$C,"Recursion &amp; Backtracking",'Problem Tracker'!$D:$D,"Backtracking",'Problem Tracker'!$E:$E,"Generate Valid Structures",'Problem Tracker'!$M:$M,"Solved")+COUNTIFS('Problem Tracker'!$C:$C,"Recursion &amp; Backtracking",'Problem Tracker'!$D:$D,"Backtracking",'Problem Tracker'!$E:$E,"Generate Valid Structures",'Problem Tracker'!$M:$M,"Mastered")</f>
        <v>0</v>
      </c>
      <c r="N95" s="28" t="n">
        <f aca="false">IF(I95=0,0,M95/I95)</f>
        <v>0</v>
      </c>
    </row>
    <row r="96" customFormat="false" ht="23.85" hidden="false" customHeight="false" outlineLevel="0" collapsed="false">
      <c r="A96" s="114" t="s">
        <v>39</v>
      </c>
      <c r="B96" s="39" t="s">
        <v>388</v>
      </c>
      <c r="C96" s="115" t="s">
        <v>409</v>
      </c>
      <c r="D96" s="58" t="s">
        <v>92</v>
      </c>
      <c r="E96" s="51" t="s">
        <v>410</v>
      </c>
      <c r="F96" s="51" t="s">
        <v>411</v>
      </c>
      <c r="G96" s="23" t="s">
        <v>404</v>
      </c>
      <c r="H96" s="23" t="s">
        <v>40</v>
      </c>
      <c r="I96" s="23" t="n">
        <f aca="false">COUNTIFS('Problem Tracker'!$C:$C,"Recursion &amp; Backtracking",'Problem Tracker'!$D:$D,"Backtracking",'Problem Tracker'!$E:$E,"Constraint Satisfaction (Board / Grid)")</f>
        <v>4</v>
      </c>
      <c r="J96" s="24" t="n">
        <f aca="false">COUNTIFS('Problem Tracker'!$C:$C,"Recursion &amp; Backtracking",'Problem Tracker'!$D:$D,"Backtracking",'Problem Tracker'!$E:$E,"Constraint Satisfaction (Board / Grid)",'Problem Tracker'!$H:$H,"Easy")</f>
        <v>0</v>
      </c>
      <c r="K96" s="25" t="n">
        <f aca="false">COUNTIFS('Problem Tracker'!$C:$C,"Recursion &amp; Backtracking",'Problem Tracker'!$D:$D,"Backtracking",'Problem Tracker'!$E:$E,"Constraint Satisfaction (Board / Grid)",'Problem Tracker'!$H:$H,"Medium")</f>
        <v>1</v>
      </c>
      <c r="L96" s="26" t="n">
        <f aca="false">COUNTIFS('Problem Tracker'!$C:$C,"Recursion &amp; Backtracking",'Problem Tracker'!$D:$D,"Backtracking",'Problem Tracker'!$E:$E,"Constraint Satisfaction (Board / Grid)",'Problem Tracker'!$H:$H,"Hard")</f>
        <v>3</v>
      </c>
      <c r="M96" s="23" t="n">
        <f aca="false">COUNTIFS('Problem Tracker'!$C:$C,"Recursion &amp; Backtracking",'Problem Tracker'!$D:$D,"Backtracking",'Problem Tracker'!$E:$E,"Constraint Satisfaction (Board / Grid)",'Problem Tracker'!$M:$M,"Solved")+COUNTIFS('Problem Tracker'!$C:$C,"Recursion &amp; Backtracking",'Problem Tracker'!$D:$D,"Backtracking",'Problem Tracker'!$E:$E,"Constraint Satisfaction (Board / Grid)",'Problem Tracker'!$M:$M,"Mastered")</f>
        <v>0</v>
      </c>
      <c r="N96" s="28" t="n">
        <f aca="false">IF(I96=0,0,M96/I96)</f>
        <v>0</v>
      </c>
    </row>
    <row r="97" customFormat="false" ht="15" hidden="false" customHeight="false" outlineLevel="0" collapsed="false">
      <c r="A97" s="116" t="s">
        <v>412</v>
      </c>
      <c r="B97" s="117"/>
      <c r="C97" s="117"/>
      <c r="D97" s="117"/>
      <c r="E97" s="117"/>
      <c r="F97" s="117"/>
      <c r="G97" s="117"/>
      <c r="H97" s="117"/>
      <c r="I97" s="117" t="n">
        <f aca="false">COUNTIF('Problem Tracker'!$C:$C,"Trie")</f>
        <v>10</v>
      </c>
      <c r="J97" s="117"/>
      <c r="K97" s="117"/>
      <c r="L97" s="117"/>
      <c r="M97" s="117" t="n">
        <f aca="false">COUNTIFS('Problem Tracker'!$C:$C,"Trie",'Problem Tracker'!$M:$M,"Solved")+COUNTIFS('Problem Tracker'!$C:$C,"Trie",'Problem Tracker'!$M:$M,"Mastered")</f>
        <v>0</v>
      </c>
      <c r="N97" s="118" t="n">
        <f aca="false">IF(I97=0,0,M97/I97)</f>
        <v>0</v>
      </c>
    </row>
    <row r="98" customFormat="false" ht="15" hidden="false" customHeight="false" outlineLevel="0" collapsed="false">
      <c r="A98" s="119" t="s">
        <v>41</v>
      </c>
      <c r="B98" s="40" t="s">
        <v>413</v>
      </c>
      <c r="C98" s="120" t="s">
        <v>414</v>
      </c>
      <c r="D98" s="58" t="s">
        <v>92</v>
      </c>
      <c r="E98" s="51" t="s">
        <v>415</v>
      </c>
      <c r="F98" s="51" t="s">
        <v>416</v>
      </c>
      <c r="G98" s="23" t="s">
        <v>417</v>
      </c>
      <c r="H98" s="23" t="s">
        <v>40</v>
      </c>
      <c r="I98" s="23" t="n">
        <f aca="false">COUNTIFS('Problem Tracker'!$C:$C,"Trie",'Problem Tracker'!$D:$D,"Trie Patterns",'Problem Tracker'!$E:$E,"Basic Trie (Insert / Search / Prefix)")</f>
        <v>4</v>
      </c>
      <c r="J98" s="24" t="n">
        <f aca="false">COUNTIFS('Problem Tracker'!$C:$C,"Trie",'Problem Tracker'!$D:$D,"Trie Patterns",'Problem Tracker'!$E:$E,"Basic Trie (Insert / Search / Prefix)",'Problem Tracker'!$H:$H,"Easy")</f>
        <v>0</v>
      </c>
      <c r="K98" s="25" t="n">
        <f aca="false">COUNTIFS('Problem Tracker'!$C:$C,"Trie",'Problem Tracker'!$D:$D,"Trie Patterns",'Problem Tracker'!$E:$E,"Basic Trie (Insert / Search / Prefix)",'Problem Tracker'!$H:$H,"Medium")</f>
        <v>4</v>
      </c>
      <c r="L98" s="26" t="n">
        <f aca="false">COUNTIFS('Problem Tracker'!$C:$C,"Trie",'Problem Tracker'!$D:$D,"Trie Patterns",'Problem Tracker'!$E:$E,"Basic Trie (Insert / Search / Prefix)",'Problem Tracker'!$H:$H,"Hard")</f>
        <v>0</v>
      </c>
      <c r="M98" s="23" t="n">
        <f aca="false">COUNTIFS('Problem Tracker'!$C:$C,"Trie",'Problem Tracker'!$D:$D,"Trie Patterns",'Problem Tracker'!$E:$E,"Basic Trie (Insert / Search / Prefix)",'Problem Tracker'!$M:$M,"Solved")+COUNTIFS('Problem Tracker'!$C:$C,"Trie",'Problem Tracker'!$D:$D,"Trie Patterns",'Problem Tracker'!$E:$E,"Basic Trie (Insert / Search / Prefix)",'Problem Tracker'!$M:$M,"Mastered")</f>
        <v>0</v>
      </c>
      <c r="N98" s="28" t="n">
        <f aca="false">IF(I98=0,0,M98/I98)</f>
        <v>0</v>
      </c>
    </row>
    <row r="99" customFormat="false" ht="15" hidden="false" customHeight="false" outlineLevel="0" collapsed="false">
      <c r="A99" s="119" t="s">
        <v>41</v>
      </c>
      <c r="B99" s="40" t="s">
        <v>413</v>
      </c>
      <c r="C99" s="120" t="s">
        <v>418</v>
      </c>
      <c r="D99" s="59" t="s">
        <v>101</v>
      </c>
      <c r="E99" s="51" t="s">
        <v>419</v>
      </c>
      <c r="F99" s="51" t="s">
        <v>420</v>
      </c>
      <c r="G99" s="23" t="s">
        <v>421</v>
      </c>
      <c r="H99" s="23" t="s">
        <v>40</v>
      </c>
      <c r="I99" s="23" t="n">
        <f aca="false">COUNTIFS('Problem Tracker'!$C:$C,"Trie",'Problem Tracker'!$D:$D,"Trie Patterns",'Problem Tracker'!$E:$E,"Wildcard / Fuzzy Search")</f>
        <v>2</v>
      </c>
      <c r="J99" s="24" t="n">
        <f aca="false">COUNTIFS('Problem Tracker'!$C:$C,"Trie",'Problem Tracker'!$D:$D,"Trie Patterns",'Problem Tracker'!$E:$E,"Wildcard / Fuzzy Search",'Problem Tracker'!$H:$H,"Easy")</f>
        <v>0</v>
      </c>
      <c r="K99" s="25" t="n">
        <f aca="false">COUNTIFS('Problem Tracker'!$C:$C,"Trie",'Problem Tracker'!$D:$D,"Trie Patterns",'Problem Tracker'!$E:$E,"Wildcard / Fuzzy Search",'Problem Tracker'!$H:$H,"Medium")</f>
        <v>2</v>
      </c>
      <c r="L99" s="26" t="n">
        <f aca="false">COUNTIFS('Problem Tracker'!$C:$C,"Trie",'Problem Tracker'!$D:$D,"Trie Patterns",'Problem Tracker'!$E:$E,"Wildcard / Fuzzy Search",'Problem Tracker'!$H:$H,"Hard")</f>
        <v>0</v>
      </c>
      <c r="M99" s="23" t="n">
        <f aca="false">COUNTIFS('Problem Tracker'!$C:$C,"Trie",'Problem Tracker'!$D:$D,"Trie Patterns",'Problem Tracker'!$E:$E,"Wildcard / Fuzzy Search",'Problem Tracker'!$M:$M,"Solved")+COUNTIFS('Problem Tracker'!$C:$C,"Trie",'Problem Tracker'!$D:$D,"Trie Patterns",'Problem Tracker'!$E:$E,"Wildcard / Fuzzy Search",'Problem Tracker'!$M:$M,"Mastered")</f>
        <v>0</v>
      </c>
      <c r="N99" s="28" t="n">
        <f aca="false">IF(I99=0,0,M99/I99)</f>
        <v>0</v>
      </c>
    </row>
    <row r="100" customFormat="false" ht="15" hidden="false" customHeight="false" outlineLevel="0" collapsed="false">
      <c r="A100" s="119" t="s">
        <v>41</v>
      </c>
      <c r="B100" s="40" t="s">
        <v>413</v>
      </c>
      <c r="C100" s="120" t="s">
        <v>422</v>
      </c>
      <c r="D100" s="58" t="s">
        <v>92</v>
      </c>
      <c r="E100" s="51" t="s">
        <v>423</v>
      </c>
      <c r="F100" s="51" t="s">
        <v>424</v>
      </c>
      <c r="G100" s="23" t="s">
        <v>425</v>
      </c>
      <c r="H100" s="23" t="s">
        <v>40</v>
      </c>
      <c r="I100" s="23" t="n">
        <f aca="false">COUNTIFS('Problem Tracker'!$C:$C,"Trie",'Problem Tracker'!$D:$D,"Trie Patterns",'Problem Tracker'!$E:$E,"Trie + Backtracking")</f>
        <v>2</v>
      </c>
      <c r="J100" s="24" t="n">
        <f aca="false">COUNTIFS('Problem Tracker'!$C:$C,"Trie",'Problem Tracker'!$D:$D,"Trie Patterns",'Problem Tracker'!$E:$E,"Trie + Backtracking",'Problem Tracker'!$H:$H,"Easy")</f>
        <v>0</v>
      </c>
      <c r="K100" s="25" t="n">
        <f aca="false">COUNTIFS('Problem Tracker'!$C:$C,"Trie",'Problem Tracker'!$D:$D,"Trie Patterns",'Problem Tracker'!$E:$E,"Trie + Backtracking",'Problem Tracker'!$H:$H,"Medium")</f>
        <v>0</v>
      </c>
      <c r="L100" s="26" t="n">
        <f aca="false">COUNTIFS('Problem Tracker'!$C:$C,"Trie",'Problem Tracker'!$D:$D,"Trie Patterns",'Problem Tracker'!$E:$E,"Trie + Backtracking",'Problem Tracker'!$H:$H,"Hard")</f>
        <v>2</v>
      </c>
      <c r="M100" s="23" t="n">
        <f aca="false">COUNTIFS('Problem Tracker'!$C:$C,"Trie",'Problem Tracker'!$D:$D,"Trie Patterns",'Problem Tracker'!$E:$E,"Trie + Backtracking",'Problem Tracker'!$M:$M,"Solved")+COUNTIFS('Problem Tracker'!$C:$C,"Trie",'Problem Tracker'!$D:$D,"Trie Patterns",'Problem Tracker'!$E:$E,"Trie + Backtracking",'Problem Tracker'!$M:$M,"Mastered")</f>
        <v>0</v>
      </c>
      <c r="N100" s="28" t="n">
        <f aca="false">IF(I100=0,0,M100/I100)</f>
        <v>0</v>
      </c>
    </row>
    <row r="101" customFormat="false" ht="15" hidden="false" customHeight="false" outlineLevel="0" collapsed="false">
      <c r="A101" s="119" t="s">
        <v>41</v>
      </c>
      <c r="B101" s="40" t="s">
        <v>413</v>
      </c>
      <c r="C101" s="120" t="s">
        <v>426</v>
      </c>
      <c r="D101" s="70" t="s">
        <v>9</v>
      </c>
      <c r="E101" s="51" t="s">
        <v>427</v>
      </c>
      <c r="F101" s="51" t="s">
        <v>428</v>
      </c>
      <c r="G101" s="23" t="s">
        <v>429</v>
      </c>
      <c r="H101" s="23" t="s">
        <v>40</v>
      </c>
      <c r="I101" s="23" t="n">
        <f aca="false">COUNTIFS('Problem Tracker'!$C:$C,"Trie",'Problem Tracker'!$D:$D,"Trie Patterns",'Problem Tracker'!$E:$E,"Bitwise (XOR) Trie")</f>
        <v>2</v>
      </c>
      <c r="J101" s="24" t="n">
        <f aca="false">COUNTIFS('Problem Tracker'!$C:$C,"Trie",'Problem Tracker'!$D:$D,"Trie Patterns",'Problem Tracker'!$E:$E,"Bitwise (XOR) Trie",'Problem Tracker'!$H:$H,"Easy")</f>
        <v>0</v>
      </c>
      <c r="K101" s="25" t="n">
        <f aca="false">COUNTIFS('Problem Tracker'!$C:$C,"Trie",'Problem Tracker'!$D:$D,"Trie Patterns",'Problem Tracker'!$E:$E,"Bitwise (XOR) Trie",'Problem Tracker'!$H:$H,"Medium")</f>
        <v>1</v>
      </c>
      <c r="L101" s="26" t="n">
        <f aca="false">COUNTIFS('Problem Tracker'!$C:$C,"Trie",'Problem Tracker'!$D:$D,"Trie Patterns",'Problem Tracker'!$E:$E,"Bitwise (XOR) Trie",'Problem Tracker'!$H:$H,"Hard")</f>
        <v>1</v>
      </c>
      <c r="M101" s="23" t="n">
        <f aca="false">COUNTIFS('Problem Tracker'!$C:$C,"Trie",'Problem Tracker'!$D:$D,"Trie Patterns",'Problem Tracker'!$E:$E,"Bitwise (XOR) Trie",'Problem Tracker'!$M:$M,"Solved")+COUNTIFS('Problem Tracker'!$C:$C,"Trie",'Problem Tracker'!$D:$D,"Trie Patterns",'Problem Tracker'!$E:$E,"Bitwise (XOR) Trie",'Problem Tracker'!$M:$M,"Mastered")</f>
        <v>0</v>
      </c>
      <c r="N101" s="28" t="n">
        <f aca="false">IF(I101=0,0,M101/I101)</f>
        <v>0</v>
      </c>
    </row>
    <row r="102" customFormat="false" ht="15" hidden="false" customHeight="false" outlineLevel="0" collapsed="false">
      <c r="A102" s="121" t="s">
        <v>430</v>
      </c>
      <c r="B102" s="122"/>
      <c r="C102" s="122"/>
      <c r="D102" s="122"/>
      <c r="E102" s="122"/>
      <c r="F102" s="122"/>
      <c r="G102" s="122"/>
      <c r="H102" s="122"/>
      <c r="I102" s="122" t="n">
        <f aca="false">COUNTIF('Problem Tracker'!$C:$C,"Graphs")</f>
        <v>57</v>
      </c>
      <c r="J102" s="122"/>
      <c r="K102" s="122"/>
      <c r="L102" s="122"/>
      <c r="M102" s="122" t="n">
        <f aca="false">COUNTIFS('Problem Tracker'!$C:$C,"Graphs",'Problem Tracker'!$M:$M,"Solved")+COUNTIFS('Problem Tracker'!$C:$C,"Graphs",'Problem Tracker'!$M:$M,"Mastered")</f>
        <v>0</v>
      </c>
      <c r="N102" s="123" t="n">
        <f aca="false">IF(I102=0,0,M102/I102)</f>
        <v>0</v>
      </c>
    </row>
    <row r="103" customFormat="false" ht="15" hidden="false" customHeight="false" outlineLevel="0" collapsed="false">
      <c r="A103" s="124" t="s">
        <v>42</v>
      </c>
      <c r="B103" s="41" t="s">
        <v>431</v>
      </c>
      <c r="C103" s="125" t="s">
        <v>432</v>
      </c>
      <c r="D103" s="58" t="s">
        <v>92</v>
      </c>
      <c r="E103" s="51" t="s">
        <v>433</v>
      </c>
      <c r="F103" s="51" t="s">
        <v>434</v>
      </c>
      <c r="G103" s="23" t="s">
        <v>218</v>
      </c>
      <c r="H103" s="23" t="s">
        <v>72</v>
      </c>
      <c r="I103" s="23" t="n">
        <f aca="false">COUNTIFS('Problem Tracker'!$C:$C,"Graphs",'Problem Tracker'!$D:$D,"Grid Graphs (DFS / BFS)",'Problem Tracker'!$E:$E,"Flood Fill / Connected Islands")</f>
        <v>5</v>
      </c>
      <c r="J103" s="24" t="n">
        <f aca="false">COUNTIFS('Problem Tracker'!$C:$C,"Graphs",'Problem Tracker'!$D:$D,"Grid Graphs (DFS / BFS)",'Problem Tracker'!$E:$E,"Flood Fill / Connected Islands",'Problem Tracker'!$H:$H,"Easy")</f>
        <v>2</v>
      </c>
      <c r="K103" s="25" t="n">
        <f aca="false">COUNTIFS('Problem Tracker'!$C:$C,"Graphs",'Problem Tracker'!$D:$D,"Grid Graphs (DFS / BFS)",'Problem Tracker'!$E:$E,"Flood Fill / Connected Islands",'Problem Tracker'!$H:$H,"Medium")</f>
        <v>3</v>
      </c>
      <c r="L103" s="26" t="n">
        <f aca="false">COUNTIFS('Problem Tracker'!$C:$C,"Graphs",'Problem Tracker'!$D:$D,"Grid Graphs (DFS / BFS)",'Problem Tracker'!$E:$E,"Flood Fill / Connected Islands",'Problem Tracker'!$H:$H,"Hard")</f>
        <v>0</v>
      </c>
      <c r="M103" s="23" t="n">
        <f aca="false">COUNTIFS('Problem Tracker'!$C:$C,"Graphs",'Problem Tracker'!$D:$D,"Grid Graphs (DFS / BFS)",'Problem Tracker'!$E:$E,"Flood Fill / Connected Islands",'Problem Tracker'!$M:$M,"Solved")+COUNTIFS('Problem Tracker'!$C:$C,"Graphs",'Problem Tracker'!$D:$D,"Grid Graphs (DFS / BFS)",'Problem Tracker'!$E:$E,"Flood Fill / Connected Islands",'Problem Tracker'!$M:$M,"Mastered")</f>
        <v>0</v>
      </c>
      <c r="N103" s="28" t="n">
        <f aca="false">IF(I103=0,0,M103/I103)</f>
        <v>0</v>
      </c>
    </row>
    <row r="104" customFormat="false" ht="15" hidden="false" customHeight="false" outlineLevel="0" collapsed="false">
      <c r="A104" s="124" t="s">
        <v>42</v>
      </c>
      <c r="B104" s="41" t="s">
        <v>431</v>
      </c>
      <c r="C104" s="125" t="s">
        <v>435</v>
      </c>
      <c r="D104" s="58" t="s">
        <v>92</v>
      </c>
      <c r="E104" s="51" t="s">
        <v>436</v>
      </c>
      <c r="F104" s="51" t="s">
        <v>437</v>
      </c>
      <c r="G104" s="23" t="s">
        <v>218</v>
      </c>
      <c r="H104" s="23" t="s">
        <v>72</v>
      </c>
      <c r="I104" s="23" t="n">
        <f aca="false">COUNTIFS('Problem Tracker'!$C:$C,"Graphs",'Problem Tracker'!$D:$D,"Grid Graphs (DFS / BFS)",'Problem Tracker'!$E:$E,"Boundary DFS (Reverse Thinking)")</f>
        <v>4</v>
      </c>
      <c r="J104" s="24" t="n">
        <f aca="false">COUNTIFS('Problem Tracker'!$C:$C,"Graphs",'Problem Tracker'!$D:$D,"Grid Graphs (DFS / BFS)",'Problem Tracker'!$E:$E,"Boundary DFS (Reverse Thinking)",'Problem Tracker'!$H:$H,"Easy")</f>
        <v>0</v>
      </c>
      <c r="K104" s="25" t="n">
        <f aca="false">COUNTIFS('Problem Tracker'!$C:$C,"Graphs",'Problem Tracker'!$D:$D,"Grid Graphs (DFS / BFS)",'Problem Tracker'!$E:$E,"Boundary DFS (Reverse Thinking)",'Problem Tracker'!$H:$H,"Medium")</f>
        <v>4</v>
      </c>
      <c r="L104" s="26" t="n">
        <f aca="false">COUNTIFS('Problem Tracker'!$C:$C,"Graphs",'Problem Tracker'!$D:$D,"Grid Graphs (DFS / BFS)",'Problem Tracker'!$E:$E,"Boundary DFS (Reverse Thinking)",'Problem Tracker'!$H:$H,"Hard")</f>
        <v>0</v>
      </c>
      <c r="M104" s="23" t="n">
        <f aca="false">COUNTIFS('Problem Tracker'!$C:$C,"Graphs",'Problem Tracker'!$D:$D,"Grid Graphs (DFS / BFS)",'Problem Tracker'!$E:$E,"Boundary DFS (Reverse Thinking)",'Problem Tracker'!$M:$M,"Solved")+COUNTIFS('Problem Tracker'!$C:$C,"Graphs",'Problem Tracker'!$D:$D,"Grid Graphs (DFS / BFS)",'Problem Tracker'!$E:$E,"Boundary DFS (Reverse Thinking)",'Problem Tracker'!$M:$M,"Mastered")</f>
        <v>0</v>
      </c>
      <c r="N104" s="28" t="n">
        <f aca="false">IF(I104=0,0,M104/I104)</f>
        <v>0</v>
      </c>
    </row>
    <row r="105" customFormat="false" ht="23.85" hidden="false" customHeight="false" outlineLevel="0" collapsed="false">
      <c r="A105" s="124" t="s">
        <v>42</v>
      </c>
      <c r="B105" s="41" t="s">
        <v>431</v>
      </c>
      <c r="C105" s="125" t="s">
        <v>438</v>
      </c>
      <c r="D105" s="58" t="s">
        <v>92</v>
      </c>
      <c r="E105" s="51" t="s">
        <v>439</v>
      </c>
      <c r="F105" s="51" t="s">
        <v>440</v>
      </c>
      <c r="G105" s="23" t="s">
        <v>218</v>
      </c>
      <c r="H105" s="23" t="s">
        <v>72</v>
      </c>
      <c r="I105" s="23" t="n">
        <f aca="false">COUNTIFS('Problem Tracker'!$C:$C,"Graphs",'Problem Tracker'!$D:$D,"Grid Graphs (DFS / BFS)",'Problem Tracker'!$E:$E,"Multi-source BFS")</f>
        <v>5</v>
      </c>
      <c r="J105" s="24" t="n">
        <f aca="false">COUNTIFS('Problem Tracker'!$C:$C,"Graphs",'Problem Tracker'!$D:$D,"Grid Graphs (DFS / BFS)",'Problem Tracker'!$E:$E,"Multi-source BFS",'Problem Tracker'!$H:$H,"Easy")</f>
        <v>0</v>
      </c>
      <c r="K105" s="25" t="n">
        <f aca="false">COUNTIFS('Problem Tracker'!$C:$C,"Graphs",'Problem Tracker'!$D:$D,"Grid Graphs (DFS / BFS)",'Problem Tracker'!$E:$E,"Multi-source BFS",'Problem Tracker'!$H:$H,"Medium")</f>
        <v>5</v>
      </c>
      <c r="L105" s="26" t="n">
        <f aca="false">COUNTIFS('Problem Tracker'!$C:$C,"Graphs",'Problem Tracker'!$D:$D,"Grid Graphs (DFS / BFS)",'Problem Tracker'!$E:$E,"Multi-source BFS",'Problem Tracker'!$H:$H,"Hard")</f>
        <v>0</v>
      </c>
      <c r="M105" s="23" t="n">
        <f aca="false">COUNTIFS('Problem Tracker'!$C:$C,"Graphs",'Problem Tracker'!$D:$D,"Grid Graphs (DFS / BFS)",'Problem Tracker'!$E:$E,"Multi-source BFS",'Problem Tracker'!$M:$M,"Solved")+COUNTIFS('Problem Tracker'!$C:$C,"Graphs",'Problem Tracker'!$D:$D,"Grid Graphs (DFS / BFS)",'Problem Tracker'!$E:$E,"Multi-source BFS",'Problem Tracker'!$M:$M,"Mastered")</f>
        <v>0</v>
      </c>
      <c r="N105" s="28" t="n">
        <f aca="false">IF(I105=0,0,M105/I105)</f>
        <v>0</v>
      </c>
    </row>
    <row r="106" customFormat="false" ht="15" hidden="false" customHeight="false" outlineLevel="0" collapsed="false">
      <c r="A106" s="124" t="s">
        <v>42</v>
      </c>
      <c r="B106" s="41" t="s">
        <v>441</v>
      </c>
      <c r="C106" s="125" t="s">
        <v>442</v>
      </c>
      <c r="D106" s="58" t="s">
        <v>92</v>
      </c>
      <c r="E106" s="51" t="s">
        <v>443</v>
      </c>
      <c r="F106" s="51" t="s">
        <v>444</v>
      </c>
      <c r="G106" s="23" t="s">
        <v>445</v>
      </c>
      <c r="H106" s="23" t="s">
        <v>72</v>
      </c>
      <c r="I106" s="23" t="n">
        <f aca="false">COUNTIFS('Problem Tracker'!$C:$C,"Graphs",'Problem Tracker'!$D:$D,"Graph Traversal",'Problem Tracker'!$E:$E,"Adjacency List DFS / BFS")</f>
        <v>8</v>
      </c>
      <c r="J106" s="24" t="n">
        <f aca="false">COUNTIFS('Problem Tracker'!$C:$C,"Graphs",'Problem Tracker'!$D:$D,"Graph Traversal",'Problem Tracker'!$E:$E,"Adjacency List DFS / BFS",'Problem Tracker'!$H:$H,"Easy")</f>
        <v>2</v>
      </c>
      <c r="K106" s="25" t="n">
        <f aca="false">COUNTIFS('Problem Tracker'!$C:$C,"Graphs",'Problem Tracker'!$D:$D,"Graph Traversal",'Problem Tracker'!$E:$E,"Adjacency List DFS / BFS",'Problem Tracker'!$H:$H,"Medium")</f>
        <v>6</v>
      </c>
      <c r="L106" s="26" t="n">
        <f aca="false">COUNTIFS('Problem Tracker'!$C:$C,"Graphs",'Problem Tracker'!$D:$D,"Graph Traversal",'Problem Tracker'!$E:$E,"Adjacency List DFS / BFS",'Problem Tracker'!$H:$H,"Hard")</f>
        <v>0</v>
      </c>
      <c r="M106" s="23" t="n">
        <f aca="false">COUNTIFS('Problem Tracker'!$C:$C,"Graphs",'Problem Tracker'!$D:$D,"Graph Traversal",'Problem Tracker'!$E:$E,"Adjacency List DFS / BFS",'Problem Tracker'!$M:$M,"Solved")+COUNTIFS('Problem Tracker'!$C:$C,"Graphs",'Problem Tracker'!$D:$D,"Graph Traversal",'Problem Tracker'!$E:$E,"Adjacency List DFS / BFS",'Problem Tracker'!$M:$M,"Mastered")</f>
        <v>0</v>
      </c>
      <c r="N106" s="28" t="n">
        <f aca="false">IF(I106=0,0,M106/I106)</f>
        <v>0</v>
      </c>
    </row>
    <row r="107" customFormat="false" ht="15" hidden="false" customHeight="false" outlineLevel="0" collapsed="false">
      <c r="A107" s="124" t="s">
        <v>42</v>
      </c>
      <c r="B107" s="41" t="s">
        <v>441</v>
      </c>
      <c r="C107" s="125" t="s">
        <v>446</v>
      </c>
      <c r="D107" s="58" t="s">
        <v>92</v>
      </c>
      <c r="E107" s="51" t="s">
        <v>447</v>
      </c>
      <c r="F107" s="51" t="s">
        <v>448</v>
      </c>
      <c r="G107" s="23" t="s">
        <v>445</v>
      </c>
      <c r="H107" s="23" t="s">
        <v>72</v>
      </c>
      <c r="I107" s="23" t="n">
        <f aca="false">COUNTIFS('Problem Tracker'!$C:$C,"Graphs",'Problem Tracker'!$D:$D,"Graph Traversal",'Problem Tracker'!$E:$E,"BFS Shortest Path (Unweighted)")</f>
        <v>7</v>
      </c>
      <c r="J107" s="24" t="n">
        <f aca="false">COUNTIFS('Problem Tracker'!$C:$C,"Graphs",'Problem Tracker'!$D:$D,"Graph Traversal",'Problem Tracker'!$E:$E,"BFS Shortest Path (Unweighted)",'Problem Tracker'!$H:$H,"Easy")</f>
        <v>0</v>
      </c>
      <c r="K107" s="25" t="n">
        <f aca="false">COUNTIFS('Problem Tracker'!$C:$C,"Graphs",'Problem Tracker'!$D:$D,"Graph Traversal",'Problem Tracker'!$E:$E,"BFS Shortest Path (Unweighted)",'Problem Tracker'!$H:$H,"Medium")</f>
        <v>5</v>
      </c>
      <c r="L107" s="26" t="n">
        <f aca="false">COUNTIFS('Problem Tracker'!$C:$C,"Graphs",'Problem Tracker'!$D:$D,"Graph Traversal",'Problem Tracker'!$E:$E,"BFS Shortest Path (Unweighted)",'Problem Tracker'!$H:$H,"Hard")</f>
        <v>2</v>
      </c>
      <c r="M107" s="23" t="n">
        <f aca="false">COUNTIFS('Problem Tracker'!$C:$C,"Graphs",'Problem Tracker'!$D:$D,"Graph Traversal",'Problem Tracker'!$E:$E,"BFS Shortest Path (Unweighted)",'Problem Tracker'!$M:$M,"Solved")+COUNTIFS('Problem Tracker'!$C:$C,"Graphs",'Problem Tracker'!$D:$D,"Graph Traversal",'Problem Tracker'!$E:$E,"BFS Shortest Path (Unweighted)",'Problem Tracker'!$M:$M,"Mastered")</f>
        <v>0</v>
      </c>
      <c r="N107" s="28" t="n">
        <f aca="false">IF(I107=0,0,M107/I107)</f>
        <v>0</v>
      </c>
    </row>
    <row r="108" customFormat="false" ht="23.85" hidden="false" customHeight="false" outlineLevel="0" collapsed="false">
      <c r="A108" s="124" t="s">
        <v>42</v>
      </c>
      <c r="B108" s="41" t="s">
        <v>441</v>
      </c>
      <c r="C108" s="125" t="s">
        <v>449</v>
      </c>
      <c r="D108" s="59" t="s">
        <v>101</v>
      </c>
      <c r="E108" s="51" t="s">
        <v>450</v>
      </c>
      <c r="F108" s="51" t="s">
        <v>451</v>
      </c>
      <c r="G108" s="23" t="s">
        <v>445</v>
      </c>
      <c r="H108" s="23" t="s">
        <v>72</v>
      </c>
      <c r="I108" s="23" t="n">
        <f aca="false">COUNTIFS('Problem Tracker'!$C:$C,"Graphs",'Problem Tracker'!$D:$D,"Graph Traversal",'Problem Tracker'!$E:$E,"Cycle Detection &amp; Bipartite")</f>
        <v>4</v>
      </c>
      <c r="J108" s="24" t="n">
        <f aca="false">COUNTIFS('Problem Tracker'!$C:$C,"Graphs",'Problem Tracker'!$D:$D,"Graph Traversal",'Problem Tracker'!$E:$E,"Cycle Detection &amp; Bipartite",'Problem Tracker'!$H:$H,"Easy")</f>
        <v>0</v>
      </c>
      <c r="K108" s="25" t="n">
        <f aca="false">COUNTIFS('Problem Tracker'!$C:$C,"Graphs",'Problem Tracker'!$D:$D,"Graph Traversal",'Problem Tracker'!$E:$E,"Cycle Detection &amp; Bipartite",'Problem Tracker'!$H:$H,"Medium")</f>
        <v>4</v>
      </c>
      <c r="L108" s="26" t="n">
        <f aca="false">COUNTIFS('Problem Tracker'!$C:$C,"Graphs",'Problem Tracker'!$D:$D,"Graph Traversal",'Problem Tracker'!$E:$E,"Cycle Detection &amp; Bipartite",'Problem Tracker'!$H:$H,"Hard")</f>
        <v>0</v>
      </c>
      <c r="M108" s="23" t="n">
        <f aca="false">COUNTIFS('Problem Tracker'!$C:$C,"Graphs",'Problem Tracker'!$D:$D,"Graph Traversal",'Problem Tracker'!$E:$E,"Cycle Detection &amp; Bipartite",'Problem Tracker'!$M:$M,"Solved")+COUNTIFS('Problem Tracker'!$C:$C,"Graphs",'Problem Tracker'!$D:$D,"Graph Traversal",'Problem Tracker'!$E:$E,"Cycle Detection &amp; Bipartite",'Problem Tracker'!$M:$M,"Mastered")</f>
        <v>0</v>
      </c>
      <c r="N108" s="28" t="n">
        <f aca="false">IF(I108=0,0,M108/I108)</f>
        <v>0</v>
      </c>
    </row>
    <row r="109" customFormat="false" ht="15" hidden="false" customHeight="false" outlineLevel="0" collapsed="false">
      <c r="A109" s="124" t="s">
        <v>42</v>
      </c>
      <c r="B109" s="41" t="s">
        <v>452</v>
      </c>
      <c r="C109" s="125" t="s">
        <v>453</v>
      </c>
      <c r="D109" s="58" t="s">
        <v>92</v>
      </c>
      <c r="E109" s="51" t="s">
        <v>454</v>
      </c>
      <c r="F109" s="51" t="s">
        <v>455</v>
      </c>
      <c r="G109" s="23" t="s">
        <v>445</v>
      </c>
      <c r="H109" s="23" t="s">
        <v>72</v>
      </c>
      <c r="I109" s="23" t="n">
        <f aca="false">COUNTIFS('Problem Tracker'!$C:$C,"Graphs",'Problem Tracker'!$D:$D,"Topological Sort",'Problem Tracker'!$E:$E,"Kahn's BFS / DFS Ordering")</f>
        <v>5</v>
      </c>
      <c r="J109" s="24" t="n">
        <f aca="false">COUNTIFS('Problem Tracker'!$C:$C,"Graphs",'Problem Tracker'!$D:$D,"Topological Sort",'Problem Tracker'!$E:$E,"Kahn's BFS / DFS Ordering",'Problem Tracker'!$H:$H,"Easy")</f>
        <v>0</v>
      </c>
      <c r="K109" s="25" t="n">
        <f aca="false">COUNTIFS('Problem Tracker'!$C:$C,"Graphs",'Problem Tracker'!$D:$D,"Topological Sort",'Problem Tracker'!$E:$E,"Kahn's BFS / DFS Ordering",'Problem Tracker'!$H:$H,"Medium")</f>
        <v>4</v>
      </c>
      <c r="L109" s="26" t="n">
        <f aca="false">COUNTIFS('Problem Tracker'!$C:$C,"Graphs",'Problem Tracker'!$D:$D,"Topological Sort",'Problem Tracker'!$E:$E,"Kahn's BFS / DFS Ordering",'Problem Tracker'!$H:$H,"Hard")</f>
        <v>1</v>
      </c>
      <c r="M109" s="23" t="n">
        <f aca="false">COUNTIFS('Problem Tracker'!$C:$C,"Graphs",'Problem Tracker'!$D:$D,"Topological Sort",'Problem Tracker'!$E:$E,"Kahn's BFS / DFS Ordering",'Problem Tracker'!$M:$M,"Solved")+COUNTIFS('Problem Tracker'!$C:$C,"Graphs",'Problem Tracker'!$D:$D,"Topological Sort",'Problem Tracker'!$E:$E,"Kahn's BFS / DFS Ordering",'Problem Tracker'!$M:$M,"Mastered")</f>
        <v>0</v>
      </c>
      <c r="N109" s="28" t="n">
        <f aca="false">IF(I109=0,0,M109/I109)</f>
        <v>0</v>
      </c>
    </row>
    <row r="110" customFormat="false" ht="15" hidden="false" customHeight="false" outlineLevel="0" collapsed="false">
      <c r="A110" s="124" t="s">
        <v>42</v>
      </c>
      <c r="B110" s="41" t="s">
        <v>456</v>
      </c>
      <c r="C110" s="125" t="s">
        <v>457</v>
      </c>
      <c r="D110" s="58" t="s">
        <v>92</v>
      </c>
      <c r="E110" s="51" t="s">
        <v>458</v>
      </c>
      <c r="F110" s="51" t="s">
        <v>459</v>
      </c>
      <c r="G110" s="23" t="s">
        <v>460</v>
      </c>
      <c r="H110" s="23" t="s">
        <v>74</v>
      </c>
      <c r="I110" s="23" t="n">
        <f aca="false">COUNTIFS('Problem Tracker'!$C:$C,"Graphs",'Problem Tracker'!$D:$D,"Union-Find (DSU)",'Problem Tracker'!$E:$E,"Disjoint Set Union")</f>
        <v>6</v>
      </c>
      <c r="J110" s="24" t="n">
        <f aca="false">COUNTIFS('Problem Tracker'!$C:$C,"Graphs",'Problem Tracker'!$D:$D,"Union-Find (DSU)",'Problem Tracker'!$E:$E,"Disjoint Set Union",'Problem Tracker'!$H:$H,"Easy")</f>
        <v>0</v>
      </c>
      <c r="K110" s="25" t="n">
        <f aca="false">COUNTIFS('Problem Tracker'!$C:$C,"Graphs",'Problem Tracker'!$D:$D,"Union-Find (DSU)",'Problem Tracker'!$E:$E,"Disjoint Set Union",'Problem Tracker'!$H:$H,"Medium")</f>
        <v>5</v>
      </c>
      <c r="L110" s="26" t="n">
        <f aca="false">COUNTIFS('Problem Tracker'!$C:$C,"Graphs",'Problem Tracker'!$D:$D,"Union-Find (DSU)",'Problem Tracker'!$E:$E,"Disjoint Set Union",'Problem Tracker'!$H:$H,"Hard")</f>
        <v>1</v>
      </c>
      <c r="M110" s="23" t="n">
        <f aca="false">COUNTIFS('Problem Tracker'!$C:$C,"Graphs",'Problem Tracker'!$D:$D,"Union-Find (DSU)",'Problem Tracker'!$E:$E,"Disjoint Set Union",'Problem Tracker'!$M:$M,"Solved")+COUNTIFS('Problem Tracker'!$C:$C,"Graphs",'Problem Tracker'!$D:$D,"Union-Find (DSU)",'Problem Tracker'!$E:$E,"Disjoint Set Union",'Problem Tracker'!$M:$M,"Mastered")</f>
        <v>0</v>
      </c>
      <c r="N110" s="28" t="n">
        <f aca="false">IF(I110=0,0,M110/I110)</f>
        <v>0</v>
      </c>
    </row>
    <row r="111" customFormat="false" ht="15" hidden="false" customHeight="false" outlineLevel="0" collapsed="false">
      <c r="A111" s="124" t="s">
        <v>42</v>
      </c>
      <c r="B111" s="41" t="s">
        <v>461</v>
      </c>
      <c r="C111" s="125" t="s">
        <v>462</v>
      </c>
      <c r="D111" s="58" t="s">
        <v>92</v>
      </c>
      <c r="E111" s="51" t="s">
        <v>463</v>
      </c>
      <c r="F111" s="51" t="s">
        <v>464</v>
      </c>
      <c r="G111" s="23" t="s">
        <v>465</v>
      </c>
      <c r="H111" s="23" t="s">
        <v>74</v>
      </c>
      <c r="I111" s="23" t="n">
        <f aca="false">COUNTIFS('Problem Tracker'!$C:$C,"Graphs",'Problem Tracker'!$D:$D,"Shortest Path (Weighted)",'Problem Tracker'!$E:$E,"Dijkstra")</f>
        <v>5</v>
      </c>
      <c r="J111" s="24" t="n">
        <f aca="false">COUNTIFS('Problem Tracker'!$C:$C,"Graphs",'Problem Tracker'!$D:$D,"Shortest Path (Weighted)",'Problem Tracker'!$E:$E,"Dijkstra",'Problem Tracker'!$H:$H,"Easy")</f>
        <v>0</v>
      </c>
      <c r="K111" s="25" t="n">
        <f aca="false">COUNTIFS('Problem Tracker'!$C:$C,"Graphs",'Problem Tracker'!$D:$D,"Shortest Path (Weighted)",'Problem Tracker'!$E:$E,"Dijkstra",'Problem Tracker'!$H:$H,"Medium")</f>
        <v>4</v>
      </c>
      <c r="L111" s="26" t="n">
        <f aca="false">COUNTIFS('Problem Tracker'!$C:$C,"Graphs",'Problem Tracker'!$D:$D,"Shortest Path (Weighted)",'Problem Tracker'!$E:$E,"Dijkstra",'Problem Tracker'!$H:$H,"Hard")</f>
        <v>1</v>
      </c>
      <c r="M111" s="23" t="n">
        <f aca="false">COUNTIFS('Problem Tracker'!$C:$C,"Graphs",'Problem Tracker'!$D:$D,"Shortest Path (Weighted)",'Problem Tracker'!$E:$E,"Dijkstra",'Problem Tracker'!$M:$M,"Solved")+COUNTIFS('Problem Tracker'!$C:$C,"Graphs",'Problem Tracker'!$D:$D,"Shortest Path (Weighted)",'Problem Tracker'!$E:$E,"Dijkstra",'Problem Tracker'!$M:$M,"Mastered")</f>
        <v>0</v>
      </c>
      <c r="N111" s="28" t="n">
        <f aca="false">IF(I111=0,0,M111/I111)</f>
        <v>0</v>
      </c>
    </row>
    <row r="112" customFormat="false" ht="15" hidden="false" customHeight="false" outlineLevel="0" collapsed="false">
      <c r="A112" s="124" t="s">
        <v>42</v>
      </c>
      <c r="B112" s="41" t="s">
        <v>461</v>
      </c>
      <c r="C112" s="125" t="s">
        <v>466</v>
      </c>
      <c r="D112" s="59" t="s">
        <v>101</v>
      </c>
      <c r="E112" s="51" t="s">
        <v>467</v>
      </c>
      <c r="F112" s="51" t="s">
        <v>468</v>
      </c>
      <c r="G112" s="23" t="s">
        <v>469</v>
      </c>
      <c r="H112" s="23" t="s">
        <v>74</v>
      </c>
      <c r="I112" s="23" t="n">
        <f aca="false">COUNTIFS('Problem Tracker'!$C:$C,"Graphs",'Problem Tracker'!$D:$D,"Shortest Path (Weighted)",'Problem Tracker'!$E:$E,"Bellman–Ford / Limited Stops")</f>
        <v>1</v>
      </c>
      <c r="J112" s="24" t="n">
        <f aca="false">COUNTIFS('Problem Tracker'!$C:$C,"Graphs",'Problem Tracker'!$D:$D,"Shortest Path (Weighted)",'Problem Tracker'!$E:$E,"Bellman–Ford / Limited Stops",'Problem Tracker'!$H:$H,"Easy")</f>
        <v>0</v>
      </c>
      <c r="K112" s="25" t="n">
        <f aca="false">COUNTIFS('Problem Tracker'!$C:$C,"Graphs",'Problem Tracker'!$D:$D,"Shortest Path (Weighted)",'Problem Tracker'!$E:$E,"Bellman–Ford / Limited Stops",'Problem Tracker'!$H:$H,"Medium")</f>
        <v>1</v>
      </c>
      <c r="L112" s="26" t="n">
        <f aca="false">COUNTIFS('Problem Tracker'!$C:$C,"Graphs",'Problem Tracker'!$D:$D,"Shortest Path (Weighted)",'Problem Tracker'!$E:$E,"Bellman–Ford / Limited Stops",'Problem Tracker'!$H:$H,"Hard")</f>
        <v>0</v>
      </c>
      <c r="M112" s="23" t="n">
        <f aca="false">COUNTIFS('Problem Tracker'!$C:$C,"Graphs",'Problem Tracker'!$D:$D,"Shortest Path (Weighted)",'Problem Tracker'!$E:$E,"Bellman–Ford / Limited Stops",'Problem Tracker'!$M:$M,"Solved")+COUNTIFS('Problem Tracker'!$C:$C,"Graphs",'Problem Tracker'!$D:$D,"Shortest Path (Weighted)",'Problem Tracker'!$E:$E,"Bellman–Ford / Limited Stops",'Problem Tracker'!$M:$M,"Mastered")</f>
        <v>0</v>
      </c>
      <c r="N112" s="28" t="n">
        <f aca="false">IF(I112=0,0,M112/I112)</f>
        <v>0</v>
      </c>
    </row>
    <row r="113" customFormat="false" ht="15" hidden="false" customHeight="false" outlineLevel="0" collapsed="false">
      <c r="A113" s="124" t="s">
        <v>42</v>
      </c>
      <c r="B113" s="41" t="s">
        <v>461</v>
      </c>
      <c r="C113" s="125" t="s">
        <v>470</v>
      </c>
      <c r="D113" s="70" t="s">
        <v>9</v>
      </c>
      <c r="E113" s="51" t="s">
        <v>471</v>
      </c>
      <c r="F113" s="51" t="s">
        <v>472</v>
      </c>
      <c r="G113" s="23" t="s">
        <v>445</v>
      </c>
      <c r="H113" s="23" t="s">
        <v>74</v>
      </c>
      <c r="I113" s="23" t="n">
        <f aca="false">COUNTIFS('Problem Tracker'!$C:$C,"Graphs",'Problem Tracker'!$D:$D,"Shortest Path (Weighted)",'Problem Tracker'!$E:$E,"0-1 BFS")</f>
        <v>1</v>
      </c>
      <c r="J113" s="24" t="n">
        <f aca="false">COUNTIFS('Problem Tracker'!$C:$C,"Graphs",'Problem Tracker'!$D:$D,"Shortest Path (Weighted)",'Problem Tracker'!$E:$E,"0-1 BFS",'Problem Tracker'!$H:$H,"Easy")</f>
        <v>0</v>
      </c>
      <c r="K113" s="25" t="n">
        <f aca="false">COUNTIFS('Problem Tracker'!$C:$C,"Graphs",'Problem Tracker'!$D:$D,"Shortest Path (Weighted)",'Problem Tracker'!$E:$E,"0-1 BFS",'Problem Tracker'!$H:$H,"Medium")</f>
        <v>0</v>
      </c>
      <c r="L113" s="26" t="n">
        <f aca="false">COUNTIFS('Problem Tracker'!$C:$C,"Graphs",'Problem Tracker'!$D:$D,"Shortest Path (Weighted)",'Problem Tracker'!$E:$E,"0-1 BFS",'Problem Tracker'!$H:$H,"Hard")</f>
        <v>1</v>
      </c>
      <c r="M113" s="23" t="n">
        <f aca="false">COUNTIFS('Problem Tracker'!$C:$C,"Graphs",'Problem Tracker'!$D:$D,"Shortest Path (Weighted)",'Problem Tracker'!$E:$E,"0-1 BFS",'Problem Tracker'!$M:$M,"Solved")+COUNTIFS('Problem Tracker'!$C:$C,"Graphs",'Problem Tracker'!$D:$D,"Shortest Path (Weighted)",'Problem Tracker'!$E:$E,"0-1 BFS",'Problem Tracker'!$M:$M,"Mastered")</f>
        <v>0</v>
      </c>
      <c r="N113" s="28" t="n">
        <f aca="false">IF(I113=0,0,M113/I113)</f>
        <v>0</v>
      </c>
    </row>
    <row r="114" customFormat="false" ht="15" hidden="false" customHeight="false" outlineLevel="0" collapsed="false">
      <c r="A114" s="124" t="s">
        <v>42</v>
      </c>
      <c r="B114" s="41" t="s">
        <v>461</v>
      </c>
      <c r="C114" s="125" t="s">
        <v>473</v>
      </c>
      <c r="D114" s="70" t="s">
        <v>9</v>
      </c>
      <c r="E114" s="51" t="s">
        <v>474</v>
      </c>
      <c r="F114" s="51" t="s">
        <v>475</v>
      </c>
      <c r="G114" s="23" t="s">
        <v>476</v>
      </c>
      <c r="H114" s="23" t="s">
        <v>74</v>
      </c>
      <c r="I114" s="23" t="n">
        <f aca="false">COUNTIFS('Problem Tracker'!$C:$C,"Graphs",'Problem Tracker'!$D:$D,"Shortest Path (Weighted)",'Problem Tracker'!$E:$E,"Floyd–Warshall (All Pairs)")</f>
        <v>1</v>
      </c>
      <c r="J114" s="24" t="n">
        <f aca="false">COUNTIFS('Problem Tracker'!$C:$C,"Graphs",'Problem Tracker'!$D:$D,"Shortest Path (Weighted)",'Problem Tracker'!$E:$E,"Floyd–Warshall (All Pairs)",'Problem Tracker'!$H:$H,"Easy")</f>
        <v>0</v>
      </c>
      <c r="K114" s="25" t="n">
        <f aca="false">COUNTIFS('Problem Tracker'!$C:$C,"Graphs",'Problem Tracker'!$D:$D,"Shortest Path (Weighted)",'Problem Tracker'!$E:$E,"Floyd–Warshall (All Pairs)",'Problem Tracker'!$H:$H,"Medium")</f>
        <v>1</v>
      </c>
      <c r="L114" s="26" t="n">
        <f aca="false">COUNTIFS('Problem Tracker'!$C:$C,"Graphs",'Problem Tracker'!$D:$D,"Shortest Path (Weighted)",'Problem Tracker'!$E:$E,"Floyd–Warshall (All Pairs)",'Problem Tracker'!$H:$H,"Hard")</f>
        <v>0</v>
      </c>
      <c r="M114" s="23" t="n">
        <f aca="false">COUNTIFS('Problem Tracker'!$C:$C,"Graphs",'Problem Tracker'!$D:$D,"Shortest Path (Weighted)",'Problem Tracker'!$E:$E,"Floyd–Warshall (All Pairs)",'Problem Tracker'!$M:$M,"Solved")+COUNTIFS('Problem Tracker'!$C:$C,"Graphs",'Problem Tracker'!$D:$D,"Shortest Path (Weighted)",'Problem Tracker'!$E:$E,"Floyd–Warshall (All Pairs)",'Problem Tracker'!$M:$M,"Mastered")</f>
        <v>0</v>
      </c>
      <c r="N114" s="28" t="n">
        <f aca="false">IF(I114=0,0,M114/I114)</f>
        <v>0</v>
      </c>
    </row>
    <row r="115" customFormat="false" ht="23.85" hidden="false" customHeight="false" outlineLevel="0" collapsed="false">
      <c r="A115" s="124" t="s">
        <v>42</v>
      </c>
      <c r="B115" s="41" t="s">
        <v>477</v>
      </c>
      <c r="C115" s="125" t="s">
        <v>478</v>
      </c>
      <c r="D115" s="59" t="s">
        <v>101</v>
      </c>
      <c r="E115" s="51" t="s">
        <v>479</v>
      </c>
      <c r="F115" s="51" t="s">
        <v>480</v>
      </c>
      <c r="G115" s="23" t="s">
        <v>481</v>
      </c>
      <c r="H115" s="23" t="s">
        <v>74</v>
      </c>
      <c r="I115" s="23" t="n">
        <f aca="false">COUNTIFS('Problem Tracker'!$C:$C,"Graphs",'Problem Tracker'!$D:$D,"Advanced Graph",'Problem Tracker'!$E:$E,"Minimum Spanning Tree (Prim / Kruskal)")</f>
        <v>2</v>
      </c>
      <c r="J115" s="24" t="n">
        <f aca="false">COUNTIFS('Problem Tracker'!$C:$C,"Graphs",'Problem Tracker'!$D:$D,"Advanced Graph",'Problem Tracker'!$E:$E,"Minimum Spanning Tree (Prim / Kruskal)",'Problem Tracker'!$H:$H,"Easy")</f>
        <v>0</v>
      </c>
      <c r="K115" s="25" t="n">
        <f aca="false">COUNTIFS('Problem Tracker'!$C:$C,"Graphs",'Problem Tracker'!$D:$D,"Advanced Graph",'Problem Tracker'!$E:$E,"Minimum Spanning Tree (Prim / Kruskal)",'Problem Tracker'!$H:$H,"Medium")</f>
        <v>1</v>
      </c>
      <c r="L115" s="26" t="n">
        <f aca="false">COUNTIFS('Problem Tracker'!$C:$C,"Graphs",'Problem Tracker'!$D:$D,"Advanced Graph",'Problem Tracker'!$E:$E,"Minimum Spanning Tree (Prim / Kruskal)",'Problem Tracker'!$H:$H,"Hard")</f>
        <v>1</v>
      </c>
      <c r="M115" s="23" t="n">
        <f aca="false">COUNTIFS('Problem Tracker'!$C:$C,"Graphs",'Problem Tracker'!$D:$D,"Advanced Graph",'Problem Tracker'!$E:$E,"Minimum Spanning Tree (Prim / Kruskal)",'Problem Tracker'!$M:$M,"Solved")+COUNTIFS('Problem Tracker'!$C:$C,"Graphs",'Problem Tracker'!$D:$D,"Advanced Graph",'Problem Tracker'!$E:$E,"Minimum Spanning Tree (Prim / Kruskal)",'Problem Tracker'!$M:$M,"Mastered")</f>
        <v>0</v>
      </c>
      <c r="N115" s="28" t="n">
        <f aca="false">IF(I115=0,0,M115/I115)</f>
        <v>0</v>
      </c>
    </row>
    <row r="116" customFormat="false" ht="15" hidden="false" customHeight="false" outlineLevel="0" collapsed="false">
      <c r="A116" s="124" t="s">
        <v>42</v>
      </c>
      <c r="B116" s="41" t="s">
        <v>477</v>
      </c>
      <c r="C116" s="125" t="s">
        <v>482</v>
      </c>
      <c r="D116" s="70" t="s">
        <v>9</v>
      </c>
      <c r="E116" s="51" t="s">
        <v>483</v>
      </c>
      <c r="F116" s="51" t="s">
        <v>484</v>
      </c>
      <c r="G116" s="23" t="s">
        <v>481</v>
      </c>
      <c r="H116" s="23" t="s">
        <v>74</v>
      </c>
      <c r="I116" s="23" t="n">
        <f aca="false">COUNTIFS('Problem Tracker'!$C:$C,"Graphs",'Problem Tracker'!$D:$D,"Advanced Graph",'Problem Tracker'!$E:$E,"Eulerian Path (Hierholzer)")</f>
        <v>2</v>
      </c>
      <c r="J116" s="24" t="n">
        <f aca="false">COUNTIFS('Problem Tracker'!$C:$C,"Graphs",'Problem Tracker'!$D:$D,"Advanced Graph",'Problem Tracker'!$E:$E,"Eulerian Path (Hierholzer)",'Problem Tracker'!$H:$H,"Easy")</f>
        <v>0</v>
      </c>
      <c r="K116" s="25" t="n">
        <f aca="false">COUNTIFS('Problem Tracker'!$C:$C,"Graphs",'Problem Tracker'!$D:$D,"Advanced Graph",'Problem Tracker'!$E:$E,"Eulerian Path (Hierholzer)",'Problem Tracker'!$H:$H,"Medium")</f>
        <v>0</v>
      </c>
      <c r="L116" s="26" t="n">
        <f aca="false">COUNTIFS('Problem Tracker'!$C:$C,"Graphs",'Problem Tracker'!$D:$D,"Advanced Graph",'Problem Tracker'!$E:$E,"Eulerian Path (Hierholzer)",'Problem Tracker'!$H:$H,"Hard")</f>
        <v>2</v>
      </c>
      <c r="M116" s="23" t="n">
        <f aca="false">COUNTIFS('Problem Tracker'!$C:$C,"Graphs",'Problem Tracker'!$D:$D,"Advanced Graph",'Problem Tracker'!$E:$E,"Eulerian Path (Hierholzer)",'Problem Tracker'!$M:$M,"Solved")+COUNTIFS('Problem Tracker'!$C:$C,"Graphs",'Problem Tracker'!$D:$D,"Advanced Graph",'Problem Tracker'!$E:$E,"Eulerian Path (Hierholzer)",'Problem Tracker'!$M:$M,"Mastered")</f>
        <v>0</v>
      </c>
      <c r="N116" s="28" t="n">
        <f aca="false">IF(I116=0,0,M116/I116)</f>
        <v>0</v>
      </c>
    </row>
    <row r="117" customFormat="false" ht="15" hidden="false" customHeight="false" outlineLevel="0" collapsed="false">
      <c r="A117" s="124" t="s">
        <v>42</v>
      </c>
      <c r="B117" s="41" t="s">
        <v>477</v>
      </c>
      <c r="C117" s="125" t="s">
        <v>485</v>
      </c>
      <c r="D117" s="70" t="s">
        <v>9</v>
      </c>
      <c r="E117" s="51" t="s">
        <v>486</v>
      </c>
      <c r="F117" s="51" t="s">
        <v>487</v>
      </c>
      <c r="G117" s="23" t="s">
        <v>445</v>
      </c>
      <c r="H117" s="23" t="s">
        <v>74</v>
      </c>
      <c r="I117" s="23" t="n">
        <f aca="false">COUNTIFS('Problem Tracker'!$C:$C,"Graphs",'Problem Tracker'!$D:$D,"Advanced Graph",'Problem Tracker'!$E:$E,"Bridges / Articulation Points (Tarjan)")</f>
        <v>1</v>
      </c>
      <c r="J117" s="24" t="n">
        <f aca="false">COUNTIFS('Problem Tracker'!$C:$C,"Graphs",'Problem Tracker'!$D:$D,"Advanced Graph",'Problem Tracker'!$E:$E,"Bridges / Articulation Points (Tarjan)",'Problem Tracker'!$H:$H,"Easy")</f>
        <v>0</v>
      </c>
      <c r="K117" s="25" t="n">
        <f aca="false">COUNTIFS('Problem Tracker'!$C:$C,"Graphs",'Problem Tracker'!$D:$D,"Advanced Graph",'Problem Tracker'!$E:$E,"Bridges / Articulation Points (Tarjan)",'Problem Tracker'!$H:$H,"Medium")</f>
        <v>0</v>
      </c>
      <c r="L117" s="26" t="n">
        <f aca="false">COUNTIFS('Problem Tracker'!$C:$C,"Graphs",'Problem Tracker'!$D:$D,"Advanced Graph",'Problem Tracker'!$E:$E,"Bridges / Articulation Points (Tarjan)",'Problem Tracker'!$H:$H,"Hard")</f>
        <v>1</v>
      </c>
      <c r="M117" s="23" t="n">
        <f aca="false">COUNTIFS('Problem Tracker'!$C:$C,"Graphs",'Problem Tracker'!$D:$D,"Advanced Graph",'Problem Tracker'!$E:$E,"Bridges / Articulation Points (Tarjan)",'Problem Tracker'!$M:$M,"Solved")+COUNTIFS('Problem Tracker'!$C:$C,"Graphs",'Problem Tracker'!$D:$D,"Advanced Graph",'Problem Tracker'!$E:$E,"Bridges / Articulation Points (Tarjan)",'Problem Tracker'!$M:$M,"Mastered")</f>
        <v>0</v>
      </c>
      <c r="N117" s="28" t="n">
        <f aca="false">IF(I117=0,0,M117/I117)</f>
        <v>0</v>
      </c>
    </row>
    <row r="118" customFormat="false" ht="15" hidden="false" customHeight="false" outlineLevel="0" collapsed="false">
      <c r="A118" s="126" t="s">
        <v>488</v>
      </c>
      <c r="B118" s="127"/>
      <c r="C118" s="127"/>
      <c r="D118" s="127"/>
      <c r="E118" s="127"/>
      <c r="F118" s="127"/>
      <c r="G118" s="127"/>
      <c r="H118" s="127"/>
      <c r="I118" s="127" t="n">
        <f aca="false">COUNTIF('Problem Tracker'!$C:$C,"Greedy")</f>
        <v>15</v>
      </c>
      <c r="J118" s="127"/>
      <c r="K118" s="127"/>
      <c r="L118" s="127"/>
      <c r="M118" s="127" t="n">
        <f aca="false">COUNTIFS('Problem Tracker'!$C:$C,"Greedy",'Problem Tracker'!$M:$M,"Solved")+COUNTIFS('Problem Tracker'!$C:$C,"Greedy",'Problem Tracker'!$M:$M,"Mastered")</f>
        <v>0</v>
      </c>
      <c r="N118" s="128" t="n">
        <f aca="false">IF(I118=0,0,M118/I118)</f>
        <v>0</v>
      </c>
    </row>
    <row r="119" customFormat="false" ht="15" hidden="false" customHeight="false" outlineLevel="0" collapsed="false">
      <c r="A119" s="129" t="s">
        <v>44</v>
      </c>
      <c r="B119" s="42" t="s">
        <v>489</v>
      </c>
      <c r="C119" s="130" t="s">
        <v>490</v>
      </c>
      <c r="D119" s="58" t="s">
        <v>92</v>
      </c>
      <c r="E119" s="51" t="s">
        <v>491</v>
      </c>
      <c r="F119" s="51" t="s">
        <v>492</v>
      </c>
      <c r="G119" s="23" t="s">
        <v>99</v>
      </c>
      <c r="H119" s="23" t="s">
        <v>45</v>
      </c>
      <c r="I119" s="23" t="n">
        <f aca="false">COUNTIFS('Problem Tracker'!$C:$C,"Greedy",'Problem Tracker'!$D:$D,"Greedy Patterns",'Problem Tracker'!$E:$E,"Reachability / Jump")</f>
        <v>3</v>
      </c>
      <c r="J119" s="24" t="n">
        <f aca="false">COUNTIFS('Problem Tracker'!$C:$C,"Greedy",'Problem Tracker'!$D:$D,"Greedy Patterns",'Problem Tracker'!$E:$E,"Reachability / Jump",'Problem Tracker'!$H:$H,"Easy")</f>
        <v>0</v>
      </c>
      <c r="K119" s="25" t="n">
        <f aca="false">COUNTIFS('Problem Tracker'!$C:$C,"Greedy",'Problem Tracker'!$D:$D,"Greedy Patterns",'Problem Tracker'!$E:$E,"Reachability / Jump",'Problem Tracker'!$H:$H,"Medium")</f>
        <v>3</v>
      </c>
      <c r="L119" s="26" t="n">
        <f aca="false">COUNTIFS('Problem Tracker'!$C:$C,"Greedy",'Problem Tracker'!$D:$D,"Greedy Patterns",'Problem Tracker'!$E:$E,"Reachability / Jump",'Problem Tracker'!$H:$H,"Hard")</f>
        <v>0</v>
      </c>
      <c r="M119" s="23" t="n">
        <f aca="false">COUNTIFS('Problem Tracker'!$C:$C,"Greedy",'Problem Tracker'!$D:$D,"Greedy Patterns",'Problem Tracker'!$E:$E,"Reachability / Jump",'Problem Tracker'!$M:$M,"Solved")+COUNTIFS('Problem Tracker'!$C:$C,"Greedy",'Problem Tracker'!$D:$D,"Greedy Patterns",'Problem Tracker'!$E:$E,"Reachability / Jump",'Problem Tracker'!$M:$M,"Mastered")</f>
        <v>0</v>
      </c>
      <c r="N119" s="28" t="n">
        <f aca="false">IF(I119=0,0,M119/I119)</f>
        <v>0</v>
      </c>
    </row>
    <row r="120" customFormat="false" ht="23.85" hidden="false" customHeight="false" outlineLevel="0" collapsed="false">
      <c r="A120" s="129" t="s">
        <v>44</v>
      </c>
      <c r="B120" s="42" t="s">
        <v>489</v>
      </c>
      <c r="C120" s="130" t="s">
        <v>493</v>
      </c>
      <c r="D120" s="58" t="s">
        <v>92</v>
      </c>
      <c r="E120" s="51" t="s">
        <v>494</v>
      </c>
      <c r="F120" s="51" t="s">
        <v>495</v>
      </c>
      <c r="G120" s="23" t="s">
        <v>314</v>
      </c>
      <c r="H120" s="23" t="s">
        <v>45</v>
      </c>
      <c r="I120" s="23" t="n">
        <f aca="false">COUNTIFS('Problem Tracker'!$C:$C,"Greedy",'Problem Tracker'!$D:$D,"Greedy Patterns",'Problem Tracker'!$E:$E,"Sort-then-Greedy")</f>
        <v>5</v>
      </c>
      <c r="J120" s="24" t="n">
        <f aca="false">COUNTIFS('Problem Tracker'!$C:$C,"Greedy",'Problem Tracker'!$D:$D,"Greedy Patterns",'Problem Tracker'!$E:$E,"Sort-then-Greedy",'Problem Tracker'!$H:$H,"Easy")</f>
        <v>1</v>
      </c>
      <c r="K120" s="25" t="n">
        <f aca="false">COUNTIFS('Problem Tracker'!$C:$C,"Greedy",'Problem Tracker'!$D:$D,"Greedy Patterns",'Problem Tracker'!$E:$E,"Sort-then-Greedy",'Problem Tracker'!$H:$H,"Medium")</f>
        <v>4</v>
      </c>
      <c r="L120" s="26" t="n">
        <f aca="false">COUNTIFS('Problem Tracker'!$C:$C,"Greedy",'Problem Tracker'!$D:$D,"Greedy Patterns",'Problem Tracker'!$E:$E,"Sort-then-Greedy",'Problem Tracker'!$H:$H,"Hard")</f>
        <v>0</v>
      </c>
      <c r="M120" s="23" t="n">
        <f aca="false">COUNTIFS('Problem Tracker'!$C:$C,"Greedy",'Problem Tracker'!$D:$D,"Greedy Patterns",'Problem Tracker'!$E:$E,"Sort-then-Greedy",'Problem Tracker'!$M:$M,"Solved")+COUNTIFS('Problem Tracker'!$C:$C,"Greedy",'Problem Tracker'!$D:$D,"Greedy Patterns",'Problem Tracker'!$E:$E,"Sort-then-Greedy",'Problem Tracker'!$M:$M,"Mastered")</f>
        <v>0</v>
      </c>
      <c r="N120" s="28" t="n">
        <f aca="false">IF(I120=0,0,M120/I120)</f>
        <v>0</v>
      </c>
    </row>
    <row r="121" customFormat="false" ht="15" hidden="false" customHeight="false" outlineLevel="0" collapsed="false">
      <c r="A121" s="129" t="s">
        <v>44</v>
      </c>
      <c r="B121" s="42" t="s">
        <v>489</v>
      </c>
      <c r="C121" s="130" t="s">
        <v>496</v>
      </c>
      <c r="D121" s="59" t="s">
        <v>101</v>
      </c>
      <c r="E121" s="51" t="s">
        <v>497</v>
      </c>
      <c r="F121" s="51" t="s">
        <v>498</v>
      </c>
      <c r="G121" s="23" t="s">
        <v>99</v>
      </c>
      <c r="H121" s="23" t="s">
        <v>45</v>
      </c>
      <c r="I121" s="23" t="n">
        <f aca="false">COUNTIFS('Problem Tracker'!$C:$C,"Greedy",'Problem Tracker'!$D:$D,"Greedy Patterns",'Problem Tracker'!$E:$E,"Running Balance / Circular")</f>
        <v>4</v>
      </c>
      <c r="J121" s="24" t="n">
        <f aca="false">COUNTIFS('Problem Tracker'!$C:$C,"Greedy",'Problem Tracker'!$D:$D,"Greedy Patterns",'Problem Tracker'!$E:$E,"Running Balance / Circular",'Problem Tracker'!$H:$H,"Easy")</f>
        <v>2</v>
      </c>
      <c r="K121" s="25" t="n">
        <f aca="false">COUNTIFS('Problem Tracker'!$C:$C,"Greedy",'Problem Tracker'!$D:$D,"Greedy Patterns",'Problem Tracker'!$E:$E,"Running Balance / Circular",'Problem Tracker'!$H:$H,"Medium")</f>
        <v>2</v>
      </c>
      <c r="L121" s="26" t="n">
        <f aca="false">COUNTIFS('Problem Tracker'!$C:$C,"Greedy",'Problem Tracker'!$D:$D,"Greedy Patterns",'Problem Tracker'!$E:$E,"Running Balance / Circular",'Problem Tracker'!$H:$H,"Hard")</f>
        <v>0</v>
      </c>
      <c r="M121" s="23" t="n">
        <f aca="false">COUNTIFS('Problem Tracker'!$C:$C,"Greedy",'Problem Tracker'!$D:$D,"Greedy Patterns",'Problem Tracker'!$E:$E,"Running Balance / Circular",'Problem Tracker'!$M:$M,"Solved")+COUNTIFS('Problem Tracker'!$C:$C,"Greedy",'Problem Tracker'!$D:$D,"Greedy Patterns",'Problem Tracker'!$E:$E,"Running Balance / Circular",'Problem Tracker'!$M:$M,"Mastered")</f>
        <v>0</v>
      </c>
      <c r="N121" s="28" t="n">
        <f aca="false">IF(I121=0,0,M121/I121)</f>
        <v>0</v>
      </c>
    </row>
    <row r="122" customFormat="false" ht="15" hidden="false" customHeight="false" outlineLevel="0" collapsed="false">
      <c r="A122" s="129" t="s">
        <v>44</v>
      </c>
      <c r="B122" s="42" t="s">
        <v>489</v>
      </c>
      <c r="C122" s="130" t="s">
        <v>499</v>
      </c>
      <c r="D122" s="59" t="s">
        <v>101</v>
      </c>
      <c r="E122" s="51" t="s">
        <v>500</v>
      </c>
      <c r="F122" s="51" t="s">
        <v>501</v>
      </c>
      <c r="G122" s="23" t="s">
        <v>99</v>
      </c>
      <c r="H122" s="23" t="s">
        <v>45</v>
      </c>
      <c r="I122" s="23" t="n">
        <f aca="false">COUNTIFS('Problem Tracker'!$C:$C,"Greedy",'Problem Tracker'!$D:$D,"Greedy Patterns",'Problem Tracker'!$E:$E,"Two-pass / Range Tracking")</f>
        <v>3</v>
      </c>
      <c r="J122" s="24" t="n">
        <f aca="false">COUNTIFS('Problem Tracker'!$C:$C,"Greedy",'Problem Tracker'!$D:$D,"Greedy Patterns",'Problem Tracker'!$E:$E,"Two-pass / Range Tracking",'Problem Tracker'!$H:$H,"Easy")</f>
        <v>0</v>
      </c>
      <c r="K122" s="25" t="n">
        <f aca="false">COUNTIFS('Problem Tracker'!$C:$C,"Greedy",'Problem Tracker'!$D:$D,"Greedy Patterns",'Problem Tracker'!$E:$E,"Two-pass / Range Tracking",'Problem Tracker'!$H:$H,"Medium")</f>
        <v>1</v>
      </c>
      <c r="L122" s="26" t="n">
        <f aca="false">COUNTIFS('Problem Tracker'!$C:$C,"Greedy",'Problem Tracker'!$D:$D,"Greedy Patterns",'Problem Tracker'!$E:$E,"Two-pass / Range Tracking",'Problem Tracker'!$H:$H,"Hard")</f>
        <v>2</v>
      </c>
      <c r="M122" s="23" t="n">
        <f aca="false">COUNTIFS('Problem Tracker'!$C:$C,"Greedy",'Problem Tracker'!$D:$D,"Greedy Patterns",'Problem Tracker'!$E:$E,"Two-pass / Range Tracking",'Problem Tracker'!$M:$M,"Solved")+COUNTIFS('Problem Tracker'!$C:$C,"Greedy",'Problem Tracker'!$D:$D,"Greedy Patterns",'Problem Tracker'!$E:$E,"Two-pass / Range Tracking",'Problem Tracker'!$M:$M,"Mastered")</f>
        <v>0</v>
      </c>
      <c r="N122" s="28" t="n">
        <f aca="false">IF(I122=0,0,M122/I122)</f>
        <v>0</v>
      </c>
    </row>
    <row r="123" customFormat="false" ht="26.85" hidden="false" customHeight="false" outlineLevel="0" collapsed="false">
      <c r="A123" s="131" t="s">
        <v>502</v>
      </c>
      <c r="B123" s="132"/>
      <c r="C123" s="132"/>
      <c r="D123" s="132"/>
      <c r="E123" s="132"/>
      <c r="F123" s="132"/>
      <c r="G123" s="132"/>
      <c r="H123" s="132"/>
      <c r="I123" s="132" t="n">
        <f aca="false">COUNTIF('Problem Tracker'!$C:$C,"Bit Manipulation")</f>
        <v>15</v>
      </c>
      <c r="J123" s="132"/>
      <c r="K123" s="132"/>
      <c r="L123" s="132"/>
      <c r="M123" s="132" t="n">
        <f aca="false">COUNTIFS('Problem Tracker'!$C:$C,"Bit Manipulation",'Problem Tracker'!$M:$M,"Solved")+COUNTIFS('Problem Tracker'!$C:$C,"Bit Manipulation",'Problem Tracker'!$M:$M,"Mastered")</f>
        <v>0</v>
      </c>
      <c r="N123" s="133" t="n">
        <f aca="false">IF(I123=0,0,M123/I123)</f>
        <v>0</v>
      </c>
    </row>
    <row r="124" customFormat="false" ht="15" hidden="false" customHeight="false" outlineLevel="0" collapsed="false">
      <c r="A124" s="134" t="s">
        <v>46</v>
      </c>
      <c r="B124" s="43" t="s">
        <v>503</v>
      </c>
      <c r="C124" s="135" t="s">
        <v>504</v>
      </c>
      <c r="D124" s="58" t="s">
        <v>92</v>
      </c>
      <c r="E124" s="51" t="s">
        <v>505</v>
      </c>
      <c r="F124" s="51" t="s">
        <v>506</v>
      </c>
      <c r="G124" s="23" t="s">
        <v>124</v>
      </c>
      <c r="H124" s="23" t="s">
        <v>45</v>
      </c>
      <c r="I124" s="23" t="n">
        <f aca="false">COUNTIFS('Problem Tracker'!$C:$C,"Bit Manipulation",'Problem Tracker'!$D:$D,"Bit Tricks",'Problem Tracker'!$E:$E,"XOR Properties")</f>
        <v>5</v>
      </c>
      <c r="J124" s="24" t="n">
        <f aca="false">COUNTIFS('Problem Tracker'!$C:$C,"Bit Manipulation",'Problem Tracker'!$D:$D,"Bit Tricks",'Problem Tracker'!$E:$E,"XOR Properties",'Problem Tracker'!$H:$H,"Easy")</f>
        <v>2</v>
      </c>
      <c r="K124" s="25" t="n">
        <f aca="false">COUNTIFS('Problem Tracker'!$C:$C,"Bit Manipulation",'Problem Tracker'!$D:$D,"Bit Tricks",'Problem Tracker'!$E:$E,"XOR Properties",'Problem Tracker'!$H:$H,"Medium")</f>
        <v>3</v>
      </c>
      <c r="L124" s="26" t="n">
        <f aca="false">COUNTIFS('Problem Tracker'!$C:$C,"Bit Manipulation",'Problem Tracker'!$D:$D,"Bit Tricks",'Problem Tracker'!$E:$E,"XOR Properties",'Problem Tracker'!$H:$H,"Hard")</f>
        <v>0</v>
      </c>
      <c r="M124" s="23" t="n">
        <f aca="false">COUNTIFS('Problem Tracker'!$C:$C,"Bit Manipulation",'Problem Tracker'!$D:$D,"Bit Tricks",'Problem Tracker'!$E:$E,"XOR Properties",'Problem Tracker'!$M:$M,"Solved")+COUNTIFS('Problem Tracker'!$C:$C,"Bit Manipulation",'Problem Tracker'!$D:$D,"Bit Tricks",'Problem Tracker'!$E:$E,"XOR Properties",'Problem Tracker'!$M:$M,"Mastered")</f>
        <v>0</v>
      </c>
      <c r="N124" s="28" t="n">
        <f aca="false">IF(I124=0,0,M124/I124)</f>
        <v>0</v>
      </c>
    </row>
    <row r="125" customFormat="false" ht="15" hidden="false" customHeight="false" outlineLevel="0" collapsed="false">
      <c r="A125" s="134" t="s">
        <v>46</v>
      </c>
      <c r="B125" s="43" t="s">
        <v>503</v>
      </c>
      <c r="C125" s="135" t="s">
        <v>507</v>
      </c>
      <c r="D125" s="58" t="s">
        <v>92</v>
      </c>
      <c r="E125" s="51" t="s">
        <v>508</v>
      </c>
      <c r="F125" s="51" t="s">
        <v>509</v>
      </c>
      <c r="G125" s="23" t="s">
        <v>510</v>
      </c>
      <c r="H125" s="23" t="s">
        <v>45</v>
      </c>
      <c r="I125" s="23" t="n">
        <f aca="false">COUNTIFS('Problem Tracker'!$C:$C,"Bit Manipulation",'Problem Tracker'!$D:$D,"Bit Tricks",'Problem Tracker'!$E:$E,"Bit Counting &amp; Shifting")</f>
        <v>6</v>
      </c>
      <c r="J125" s="24" t="n">
        <f aca="false">COUNTIFS('Problem Tracker'!$C:$C,"Bit Manipulation",'Problem Tracker'!$D:$D,"Bit Tricks",'Problem Tracker'!$E:$E,"Bit Counting &amp; Shifting",'Problem Tracker'!$H:$H,"Easy")</f>
        <v>5</v>
      </c>
      <c r="K125" s="25" t="n">
        <f aca="false">COUNTIFS('Problem Tracker'!$C:$C,"Bit Manipulation",'Problem Tracker'!$D:$D,"Bit Tricks",'Problem Tracker'!$E:$E,"Bit Counting &amp; Shifting",'Problem Tracker'!$H:$H,"Medium")</f>
        <v>1</v>
      </c>
      <c r="L125" s="26" t="n">
        <f aca="false">COUNTIFS('Problem Tracker'!$C:$C,"Bit Manipulation",'Problem Tracker'!$D:$D,"Bit Tricks",'Problem Tracker'!$E:$E,"Bit Counting &amp; Shifting",'Problem Tracker'!$H:$H,"Hard")</f>
        <v>0</v>
      </c>
      <c r="M125" s="23" t="n">
        <f aca="false">COUNTIFS('Problem Tracker'!$C:$C,"Bit Manipulation",'Problem Tracker'!$D:$D,"Bit Tricks",'Problem Tracker'!$E:$E,"Bit Counting &amp; Shifting",'Problem Tracker'!$M:$M,"Solved")+COUNTIFS('Problem Tracker'!$C:$C,"Bit Manipulation",'Problem Tracker'!$D:$D,"Bit Tricks",'Problem Tracker'!$E:$E,"Bit Counting &amp; Shifting",'Problem Tracker'!$M:$M,"Mastered")</f>
        <v>0</v>
      </c>
      <c r="N125" s="28" t="n">
        <f aca="false">IF(I125=0,0,M125/I125)</f>
        <v>0</v>
      </c>
    </row>
    <row r="126" customFormat="false" ht="23.85" hidden="false" customHeight="false" outlineLevel="0" collapsed="false">
      <c r="A126" s="134" t="s">
        <v>46</v>
      </c>
      <c r="B126" s="43" t="s">
        <v>503</v>
      </c>
      <c r="C126" s="135" t="s">
        <v>511</v>
      </c>
      <c r="D126" s="59" t="s">
        <v>101</v>
      </c>
      <c r="E126" s="51" t="s">
        <v>512</v>
      </c>
      <c r="F126" s="51" t="s">
        <v>513</v>
      </c>
      <c r="G126" s="23" t="s">
        <v>514</v>
      </c>
      <c r="H126" s="23" t="s">
        <v>45</v>
      </c>
      <c r="I126" s="23" t="n">
        <f aca="false">COUNTIFS('Problem Tracker'!$C:$C,"Bit Manipulation",'Problem Tracker'!$D:$D,"Bit Tricks",'Problem Tracker'!$E:$E,"Bitwise Arithmetic")</f>
        <v>4</v>
      </c>
      <c r="J126" s="24" t="n">
        <f aca="false">COUNTIFS('Problem Tracker'!$C:$C,"Bit Manipulation",'Problem Tracker'!$D:$D,"Bit Tricks",'Problem Tracker'!$E:$E,"Bitwise Arithmetic",'Problem Tracker'!$H:$H,"Easy")</f>
        <v>0</v>
      </c>
      <c r="K126" s="25" t="n">
        <f aca="false">COUNTIFS('Problem Tracker'!$C:$C,"Bit Manipulation",'Problem Tracker'!$D:$D,"Bit Tricks",'Problem Tracker'!$E:$E,"Bitwise Arithmetic",'Problem Tracker'!$H:$H,"Medium")</f>
        <v>4</v>
      </c>
      <c r="L126" s="26" t="n">
        <f aca="false">COUNTIFS('Problem Tracker'!$C:$C,"Bit Manipulation",'Problem Tracker'!$D:$D,"Bit Tricks",'Problem Tracker'!$E:$E,"Bitwise Arithmetic",'Problem Tracker'!$H:$H,"Hard")</f>
        <v>0</v>
      </c>
      <c r="M126" s="23" t="n">
        <f aca="false">COUNTIFS('Problem Tracker'!$C:$C,"Bit Manipulation",'Problem Tracker'!$D:$D,"Bit Tricks",'Problem Tracker'!$E:$E,"Bitwise Arithmetic",'Problem Tracker'!$M:$M,"Solved")+COUNTIFS('Problem Tracker'!$C:$C,"Bit Manipulation",'Problem Tracker'!$D:$D,"Bit Tricks",'Problem Tracker'!$E:$E,"Bitwise Arithmetic",'Problem Tracker'!$M:$M,"Mastered")</f>
        <v>0</v>
      </c>
      <c r="N126" s="28" t="n">
        <f aca="false">IF(I126=0,0,M126/I126)</f>
        <v>0</v>
      </c>
    </row>
    <row r="127" customFormat="false" ht="26.85" hidden="false" customHeight="false" outlineLevel="0" collapsed="false">
      <c r="A127" s="136" t="s">
        <v>515</v>
      </c>
      <c r="B127" s="137"/>
      <c r="C127" s="137"/>
      <c r="D127" s="137"/>
      <c r="E127" s="137"/>
      <c r="F127" s="137"/>
      <c r="G127" s="137"/>
      <c r="H127" s="137"/>
      <c r="I127" s="137" t="n">
        <f aca="false">COUNTIF('Problem Tracker'!$C:$C,"Dynamic Programming")</f>
        <v>71</v>
      </c>
      <c r="J127" s="137"/>
      <c r="K127" s="137"/>
      <c r="L127" s="137"/>
      <c r="M127" s="137" t="n">
        <f aca="false">COUNTIFS('Problem Tracker'!$C:$C,"Dynamic Programming",'Problem Tracker'!$M:$M,"Solved")+COUNTIFS('Problem Tracker'!$C:$C,"Dynamic Programming",'Problem Tracker'!$M:$M,"Mastered")</f>
        <v>0</v>
      </c>
      <c r="N127" s="138" t="n">
        <f aca="false">IF(I127=0,0,M127/I127)</f>
        <v>0</v>
      </c>
    </row>
    <row r="128" customFormat="false" ht="23.85" hidden="false" customHeight="false" outlineLevel="0" collapsed="false">
      <c r="A128" s="139" t="s">
        <v>47</v>
      </c>
      <c r="B128" s="44" t="s">
        <v>516</v>
      </c>
      <c r="C128" s="140" t="s">
        <v>517</v>
      </c>
      <c r="D128" s="58" t="s">
        <v>92</v>
      </c>
      <c r="E128" s="51" t="s">
        <v>518</v>
      </c>
      <c r="F128" s="51" t="s">
        <v>519</v>
      </c>
      <c r="G128" s="23" t="s">
        <v>99</v>
      </c>
      <c r="H128" s="23" t="s">
        <v>77</v>
      </c>
      <c r="I128" s="23" t="n">
        <f aca="false">COUNTIFS('Problem Tracker'!$C:$C,"Dynamic Programming",'Problem Tracker'!$D:$D,"Linear DP",'Problem Tracker'!$E:$E,"1D DP (Fibonacci-style)")</f>
        <v>8</v>
      </c>
      <c r="J128" s="24" t="n">
        <f aca="false">COUNTIFS('Problem Tracker'!$C:$C,"Dynamic Programming",'Problem Tracker'!$D:$D,"Linear DP",'Problem Tracker'!$E:$E,"1D DP (Fibonacci-style)",'Problem Tracker'!$H:$H,"Easy")</f>
        <v>3</v>
      </c>
      <c r="K128" s="25" t="n">
        <f aca="false">COUNTIFS('Problem Tracker'!$C:$C,"Dynamic Programming",'Problem Tracker'!$D:$D,"Linear DP",'Problem Tracker'!$E:$E,"1D DP (Fibonacci-style)",'Problem Tracker'!$H:$H,"Medium")</f>
        <v>5</v>
      </c>
      <c r="L128" s="26" t="n">
        <f aca="false">COUNTIFS('Problem Tracker'!$C:$C,"Dynamic Programming",'Problem Tracker'!$D:$D,"Linear DP",'Problem Tracker'!$E:$E,"1D DP (Fibonacci-style)",'Problem Tracker'!$H:$H,"Hard")</f>
        <v>0</v>
      </c>
      <c r="M128" s="23" t="n">
        <f aca="false">COUNTIFS('Problem Tracker'!$C:$C,"Dynamic Programming",'Problem Tracker'!$D:$D,"Linear DP",'Problem Tracker'!$E:$E,"1D DP (Fibonacci-style)",'Problem Tracker'!$M:$M,"Solved")+COUNTIFS('Problem Tracker'!$C:$C,"Dynamic Programming",'Problem Tracker'!$D:$D,"Linear DP",'Problem Tracker'!$E:$E,"1D DP (Fibonacci-style)",'Problem Tracker'!$M:$M,"Mastered")</f>
        <v>0</v>
      </c>
      <c r="N128" s="28" t="n">
        <f aca="false">IF(I128=0,0,M128/I128)</f>
        <v>0</v>
      </c>
    </row>
    <row r="129" customFormat="false" ht="15" hidden="false" customHeight="false" outlineLevel="0" collapsed="false">
      <c r="A129" s="139" t="s">
        <v>47</v>
      </c>
      <c r="B129" s="44" t="s">
        <v>516</v>
      </c>
      <c r="C129" s="140" t="s">
        <v>520</v>
      </c>
      <c r="D129" s="58" t="s">
        <v>92</v>
      </c>
      <c r="E129" s="51" t="s">
        <v>521</v>
      </c>
      <c r="F129" s="51" t="s">
        <v>522</v>
      </c>
      <c r="G129" s="23" t="s">
        <v>182</v>
      </c>
      <c r="H129" s="23" t="s">
        <v>77</v>
      </c>
      <c r="I129" s="23" t="n">
        <f aca="false">COUNTIFS('Problem Tracker'!$C:$C,"Dynamic Programming",'Problem Tracker'!$D:$D,"Linear DP",'Problem Tracker'!$E:$E,"String Segmentation / Decoding")</f>
        <v>4</v>
      </c>
      <c r="J129" s="24" t="n">
        <f aca="false">COUNTIFS('Problem Tracker'!$C:$C,"Dynamic Programming",'Problem Tracker'!$D:$D,"Linear DP",'Problem Tracker'!$E:$E,"String Segmentation / Decoding",'Problem Tracker'!$H:$H,"Easy")</f>
        <v>0</v>
      </c>
      <c r="K129" s="25" t="n">
        <f aca="false">COUNTIFS('Problem Tracker'!$C:$C,"Dynamic Programming",'Problem Tracker'!$D:$D,"Linear DP",'Problem Tracker'!$E:$E,"String Segmentation / Decoding",'Problem Tracker'!$H:$H,"Medium")</f>
        <v>3</v>
      </c>
      <c r="L129" s="26" t="n">
        <f aca="false">COUNTIFS('Problem Tracker'!$C:$C,"Dynamic Programming",'Problem Tracker'!$D:$D,"Linear DP",'Problem Tracker'!$E:$E,"String Segmentation / Decoding",'Problem Tracker'!$H:$H,"Hard")</f>
        <v>1</v>
      </c>
      <c r="M129" s="23" t="n">
        <f aca="false">COUNTIFS('Problem Tracker'!$C:$C,"Dynamic Programming",'Problem Tracker'!$D:$D,"Linear DP",'Problem Tracker'!$E:$E,"String Segmentation / Decoding",'Problem Tracker'!$M:$M,"Solved")+COUNTIFS('Problem Tracker'!$C:$C,"Dynamic Programming",'Problem Tracker'!$D:$D,"Linear DP",'Problem Tracker'!$E:$E,"String Segmentation / Decoding",'Problem Tracker'!$M:$M,"Mastered")</f>
        <v>0</v>
      </c>
      <c r="N129" s="28" t="n">
        <f aca="false">IF(I129=0,0,M129/I129)</f>
        <v>0</v>
      </c>
    </row>
    <row r="130" customFormat="false" ht="15" hidden="false" customHeight="false" outlineLevel="0" collapsed="false">
      <c r="A130" s="139" t="s">
        <v>47</v>
      </c>
      <c r="B130" s="44" t="s">
        <v>523</v>
      </c>
      <c r="C130" s="140" t="s">
        <v>524</v>
      </c>
      <c r="D130" s="58" t="s">
        <v>92</v>
      </c>
      <c r="E130" s="51" t="s">
        <v>525</v>
      </c>
      <c r="F130" s="51" t="s">
        <v>526</v>
      </c>
      <c r="G130" s="23" t="s">
        <v>218</v>
      </c>
      <c r="H130" s="23" t="s">
        <v>77</v>
      </c>
      <c r="I130" s="23" t="n">
        <f aca="false">COUNTIFS('Problem Tracker'!$C:$C,"Dynamic Programming",'Problem Tracker'!$D:$D,"Grid / 2D DP",'Problem Tracker'!$E:$E,"Grid Paths")</f>
        <v>7</v>
      </c>
      <c r="J130" s="24" t="n">
        <f aca="false">COUNTIFS('Problem Tracker'!$C:$C,"Dynamic Programming",'Problem Tracker'!$D:$D,"Grid / 2D DP",'Problem Tracker'!$E:$E,"Grid Paths",'Problem Tracker'!$H:$H,"Easy")</f>
        <v>0</v>
      </c>
      <c r="K130" s="25" t="n">
        <f aca="false">COUNTIFS('Problem Tracker'!$C:$C,"Dynamic Programming",'Problem Tracker'!$D:$D,"Grid / 2D DP",'Problem Tracker'!$E:$E,"Grid Paths",'Problem Tracker'!$H:$H,"Medium")</f>
        <v>6</v>
      </c>
      <c r="L130" s="26" t="n">
        <f aca="false">COUNTIFS('Problem Tracker'!$C:$C,"Dynamic Programming",'Problem Tracker'!$D:$D,"Grid / 2D DP",'Problem Tracker'!$E:$E,"Grid Paths",'Problem Tracker'!$H:$H,"Hard")</f>
        <v>1</v>
      </c>
      <c r="M130" s="23" t="n">
        <f aca="false">COUNTIFS('Problem Tracker'!$C:$C,"Dynamic Programming",'Problem Tracker'!$D:$D,"Grid / 2D DP",'Problem Tracker'!$E:$E,"Grid Paths",'Problem Tracker'!$M:$M,"Solved")+COUNTIFS('Problem Tracker'!$C:$C,"Dynamic Programming",'Problem Tracker'!$D:$D,"Grid / 2D DP",'Problem Tracker'!$E:$E,"Grid Paths",'Problem Tracker'!$M:$M,"Mastered")</f>
        <v>0</v>
      </c>
      <c r="N130" s="28" t="n">
        <f aca="false">IF(I130=0,0,M130/I130)</f>
        <v>0</v>
      </c>
    </row>
    <row r="131" customFormat="false" ht="15" hidden="false" customHeight="false" outlineLevel="0" collapsed="false">
      <c r="A131" s="139" t="s">
        <v>47</v>
      </c>
      <c r="B131" s="44" t="s">
        <v>523</v>
      </c>
      <c r="C131" s="140" t="s">
        <v>527</v>
      </c>
      <c r="D131" s="70" t="s">
        <v>9</v>
      </c>
      <c r="E131" s="51" t="s">
        <v>528</v>
      </c>
      <c r="F131" s="51" t="s">
        <v>529</v>
      </c>
      <c r="G131" s="23" t="s">
        <v>530</v>
      </c>
      <c r="H131" s="23" t="s">
        <v>77</v>
      </c>
      <c r="I131" s="23" t="n">
        <f aca="false">COUNTIFS('Problem Tracker'!$C:$C,"Dynamic Programming",'Problem Tracker'!$D:$D,"Grid / 2D DP",'Problem Tracker'!$E:$E,"Multi-agent Grid DP")</f>
        <v>2</v>
      </c>
      <c r="J131" s="24" t="n">
        <f aca="false">COUNTIFS('Problem Tracker'!$C:$C,"Dynamic Programming",'Problem Tracker'!$D:$D,"Grid / 2D DP",'Problem Tracker'!$E:$E,"Multi-agent Grid DP",'Problem Tracker'!$H:$H,"Easy")</f>
        <v>0</v>
      </c>
      <c r="K131" s="25" t="n">
        <f aca="false">COUNTIFS('Problem Tracker'!$C:$C,"Dynamic Programming",'Problem Tracker'!$D:$D,"Grid / 2D DP",'Problem Tracker'!$E:$E,"Multi-agent Grid DP",'Problem Tracker'!$H:$H,"Medium")</f>
        <v>0</v>
      </c>
      <c r="L131" s="26" t="n">
        <f aca="false">COUNTIFS('Problem Tracker'!$C:$C,"Dynamic Programming",'Problem Tracker'!$D:$D,"Grid / 2D DP",'Problem Tracker'!$E:$E,"Multi-agent Grid DP",'Problem Tracker'!$H:$H,"Hard")</f>
        <v>2</v>
      </c>
      <c r="M131" s="23" t="n">
        <f aca="false">COUNTIFS('Problem Tracker'!$C:$C,"Dynamic Programming",'Problem Tracker'!$D:$D,"Grid / 2D DP",'Problem Tracker'!$E:$E,"Multi-agent Grid DP",'Problem Tracker'!$M:$M,"Solved")+COUNTIFS('Problem Tracker'!$C:$C,"Dynamic Programming",'Problem Tracker'!$D:$D,"Grid / 2D DP",'Problem Tracker'!$E:$E,"Multi-agent Grid DP",'Problem Tracker'!$M:$M,"Mastered")</f>
        <v>0</v>
      </c>
      <c r="N131" s="28" t="n">
        <f aca="false">IF(I131=0,0,M131/I131)</f>
        <v>0</v>
      </c>
    </row>
    <row r="132" customFormat="false" ht="15" hidden="false" customHeight="false" outlineLevel="0" collapsed="false">
      <c r="A132" s="139" t="s">
        <v>47</v>
      </c>
      <c r="B132" s="44" t="s">
        <v>523</v>
      </c>
      <c r="C132" s="140" t="s">
        <v>531</v>
      </c>
      <c r="D132" s="59" t="s">
        <v>101</v>
      </c>
      <c r="E132" s="51" t="s">
        <v>532</v>
      </c>
      <c r="F132" s="51" t="s">
        <v>533</v>
      </c>
      <c r="G132" s="23" t="s">
        <v>534</v>
      </c>
      <c r="H132" s="23" t="s">
        <v>77</v>
      </c>
      <c r="I132" s="23" t="n">
        <f aca="false">COUNTIFS('Problem Tracker'!$C:$C,"Dynamic Programming",'Problem Tracker'!$D:$D,"Grid / 2D DP",'Problem Tracker'!$E:$E,"DFS + Memoization on Grid")</f>
        <v>3</v>
      </c>
      <c r="J132" s="24" t="n">
        <f aca="false">COUNTIFS('Problem Tracker'!$C:$C,"Dynamic Programming",'Problem Tracker'!$D:$D,"Grid / 2D DP",'Problem Tracker'!$E:$E,"DFS + Memoization on Grid",'Problem Tracker'!$H:$H,"Easy")</f>
        <v>0</v>
      </c>
      <c r="K132" s="25" t="n">
        <f aca="false">COUNTIFS('Problem Tracker'!$C:$C,"Dynamic Programming",'Problem Tracker'!$D:$D,"Grid / 2D DP",'Problem Tracker'!$E:$E,"DFS + Memoization on Grid",'Problem Tracker'!$H:$H,"Medium")</f>
        <v>2</v>
      </c>
      <c r="L132" s="26" t="n">
        <f aca="false">COUNTIFS('Problem Tracker'!$C:$C,"Dynamic Programming",'Problem Tracker'!$D:$D,"Grid / 2D DP",'Problem Tracker'!$E:$E,"DFS + Memoization on Grid",'Problem Tracker'!$H:$H,"Hard")</f>
        <v>1</v>
      </c>
      <c r="M132" s="23" t="n">
        <f aca="false">COUNTIFS('Problem Tracker'!$C:$C,"Dynamic Programming",'Problem Tracker'!$D:$D,"Grid / 2D DP",'Problem Tracker'!$E:$E,"DFS + Memoization on Grid",'Problem Tracker'!$M:$M,"Solved")+COUNTIFS('Problem Tracker'!$C:$C,"Dynamic Programming",'Problem Tracker'!$D:$D,"Grid / 2D DP",'Problem Tracker'!$E:$E,"DFS + Memoization on Grid",'Problem Tracker'!$M:$M,"Mastered")</f>
        <v>0</v>
      </c>
      <c r="N132" s="28" t="n">
        <f aca="false">IF(I132=0,0,M132/I132)</f>
        <v>0</v>
      </c>
    </row>
    <row r="133" customFormat="false" ht="15" hidden="false" customHeight="false" outlineLevel="0" collapsed="false">
      <c r="A133" s="139" t="s">
        <v>47</v>
      </c>
      <c r="B133" s="44" t="s">
        <v>535</v>
      </c>
      <c r="C133" s="140" t="s">
        <v>536</v>
      </c>
      <c r="D133" s="58" t="s">
        <v>92</v>
      </c>
      <c r="E133" s="51" t="s">
        <v>537</v>
      </c>
      <c r="F133" s="51" t="s">
        <v>538</v>
      </c>
      <c r="G133" s="23" t="s">
        <v>539</v>
      </c>
      <c r="H133" s="23" t="s">
        <v>77</v>
      </c>
      <c r="I133" s="23" t="n">
        <f aca="false">COUNTIFS('Problem Tracker'!$C:$C,"Dynamic Programming",'Problem Tracker'!$D:$D,"Knapsack",'Problem Tracker'!$E:$E,"0/1 Knapsack (Subset Sum)")</f>
        <v>5</v>
      </c>
      <c r="J133" s="24" t="n">
        <f aca="false">COUNTIFS('Problem Tracker'!$C:$C,"Dynamic Programming",'Problem Tracker'!$D:$D,"Knapsack",'Problem Tracker'!$E:$E,"0/1 Knapsack (Subset Sum)",'Problem Tracker'!$H:$H,"Easy")</f>
        <v>0</v>
      </c>
      <c r="K133" s="25" t="n">
        <f aca="false">COUNTIFS('Problem Tracker'!$C:$C,"Dynamic Programming",'Problem Tracker'!$D:$D,"Knapsack",'Problem Tracker'!$E:$E,"0/1 Knapsack (Subset Sum)",'Problem Tracker'!$H:$H,"Medium")</f>
        <v>4</v>
      </c>
      <c r="L133" s="26" t="n">
        <f aca="false">COUNTIFS('Problem Tracker'!$C:$C,"Dynamic Programming",'Problem Tracker'!$D:$D,"Knapsack",'Problem Tracker'!$E:$E,"0/1 Knapsack (Subset Sum)",'Problem Tracker'!$H:$H,"Hard")</f>
        <v>1</v>
      </c>
      <c r="M133" s="23" t="n">
        <f aca="false">COUNTIFS('Problem Tracker'!$C:$C,"Dynamic Programming",'Problem Tracker'!$D:$D,"Knapsack",'Problem Tracker'!$E:$E,"0/1 Knapsack (Subset Sum)",'Problem Tracker'!$M:$M,"Solved")+COUNTIFS('Problem Tracker'!$C:$C,"Dynamic Programming",'Problem Tracker'!$D:$D,"Knapsack",'Problem Tracker'!$E:$E,"0/1 Knapsack (Subset Sum)",'Problem Tracker'!$M:$M,"Mastered")</f>
        <v>0</v>
      </c>
      <c r="N133" s="28" t="n">
        <f aca="false">IF(I133=0,0,M133/I133)</f>
        <v>0</v>
      </c>
    </row>
    <row r="134" customFormat="false" ht="15" hidden="false" customHeight="false" outlineLevel="0" collapsed="false">
      <c r="A134" s="139" t="s">
        <v>47</v>
      </c>
      <c r="B134" s="44" t="s">
        <v>535</v>
      </c>
      <c r="C134" s="140" t="s">
        <v>540</v>
      </c>
      <c r="D134" s="58" t="s">
        <v>92</v>
      </c>
      <c r="E134" s="51" t="s">
        <v>541</v>
      </c>
      <c r="F134" s="51" t="s">
        <v>542</v>
      </c>
      <c r="G134" s="23" t="s">
        <v>539</v>
      </c>
      <c r="H134" s="23" t="s">
        <v>77</v>
      </c>
      <c r="I134" s="23" t="n">
        <f aca="false">COUNTIFS('Problem Tracker'!$C:$C,"Dynamic Programming",'Problem Tracker'!$D:$D,"Knapsack",'Problem Tracker'!$E:$E,"Unbounded Knapsack")</f>
        <v>4</v>
      </c>
      <c r="J134" s="24" t="n">
        <f aca="false">COUNTIFS('Problem Tracker'!$C:$C,"Dynamic Programming",'Problem Tracker'!$D:$D,"Knapsack",'Problem Tracker'!$E:$E,"Unbounded Knapsack",'Problem Tracker'!$H:$H,"Easy")</f>
        <v>0</v>
      </c>
      <c r="K134" s="25" t="n">
        <f aca="false">COUNTIFS('Problem Tracker'!$C:$C,"Dynamic Programming",'Problem Tracker'!$D:$D,"Knapsack",'Problem Tracker'!$E:$E,"Unbounded Knapsack",'Problem Tracker'!$H:$H,"Medium")</f>
        <v>4</v>
      </c>
      <c r="L134" s="26" t="n">
        <f aca="false">COUNTIFS('Problem Tracker'!$C:$C,"Dynamic Programming",'Problem Tracker'!$D:$D,"Knapsack",'Problem Tracker'!$E:$E,"Unbounded Knapsack",'Problem Tracker'!$H:$H,"Hard")</f>
        <v>0</v>
      </c>
      <c r="M134" s="23" t="n">
        <f aca="false">COUNTIFS('Problem Tracker'!$C:$C,"Dynamic Programming",'Problem Tracker'!$D:$D,"Knapsack",'Problem Tracker'!$E:$E,"Unbounded Knapsack",'Problem Tracker'!$M:$M,"Solved")+COUNTIFS('Problem Tracker'!$C:$C,"Dynamic Programming",'Problem Tracker'!$D:$D,"Knapsack",'Problem Tracker'!$E:$E,"Unbounded Knapsack",'Problem Tracker'!$M:$M,"Mastered")</f>
        <v>0</v>
      </c>
      <c r="N134" s="28" t="n">
        <f aca="false">IF(I134=0,0,M134/I134)</f>
        <v>0</v>
      </c>
    </row>
    <row r="135" customFormat="false" ht="23.85" hidden="false" customHeight="false" outlineLevel="0" collapsed="false">
      <c r="A135" s="139" t="s">
        <v>47</v>
      </c>
      <c r="B135" s="44" t="s">
        <v>543</v>
      </c>
      <c r="C135" s="140" t="s">
        <v>544</v>
      </c>
      <c r="D135" s="58" t="s">
        <v>92</v>
      </c>
      <c r="E135" s="51" t="s">
        <v>545</v>
      </c>
      <c r="F135" s="51" t="s">
        <v>546</v>
      </c>
      <c r="G135" s="23" t="s">
        <v>314</v>
      </c>
      <c r="H135" s="23" t="s">
        <v>79</v>
      </c>
      <c r="I135" s="23" t="n">
        <f aca="false">COUNTIFS('Problem Tracker'!$C:$C,"Dynamic Programming",'Problem Tracker'!$D:$D,"Subsequence DP",'Problem Tracker'!$E:$E,"Longest Increasing Subsequence (LIS)")</f>
        <v>5</v>
      </c>
      <c r="J135" s="24" t="n">
        <f aca="false">COUNTIFS('Problem Tracker'!$C:$C,"Dynamic Programming",'Problem Tracker'!$D:$D,"Subsequence DP",'Problem Tracker'!$E:$E,"Longest Increasing Subsequence (LIS)",'Problem Tracker'!$H:$H,"Easy")</f>
        <v>0</v>
      </c>
      <c r="K135" s="25" t="n">
        <f aca="false">COUNTIFS('Problem Tracker'!$C:$C,"Dynamic Programming",'Problem Tracker'!$D:$D,"Subsequence DP",'Problem Tracker'!$E:$E,"Longest Increasing Subsequence (LIS)",'Problem Tracker'!$H:$H,"Medium")</f>
        <v>4</v>
      </c>
      <c r="L135" s="26" t="n">
        <f aca="false">COUNTIFS('Problem Tracker'!$C:$C,"Dynamic Programming",'Problem Tracker'!$D:$D,"Subsequence DP",'Problem Tracker'!$E:$E,"Longest Increasing Subsequence (LIS)",'Problem Tracker'!$H:$H,"Hard")</f>
        <v>1</v>
      </c>
      <c r="M135" s="23" t="n">
        <f aca="false">COUNTIFS('Problem Tracker'!$C:$C,"Dynamic Programming",'Problem Tracker'!$D:$D,"Subsequence DP",'Problem Tracker'!$E:$E,"Longest Increasing Subsequence (LIS)",'Problem Tracker'!$M:$M,"Solved")+COUNTIFS('Problem Tracker'!$C:$C,"Dynamic Programming",'Problem Tracker'!$D:$D,"Subsequence DP",'Problem Tracker'!$E:$E,"Longest Increasing Subsequence (LIS)",'Problem Tracker'!$M:$M,"Mastered")</f>
        <v>0</v>
      </c>
      <c r="N135" s="28" t="n">
        <f aca="false">IF(I135=0,0,M135/I135)</f>
        <v>0</v>
      </c>
    </row>
    <row r="136" customFormat="false" ht="15" hidden="false" customHeight="false" outlineLevel="0" collapsed="false">
      <c r="A136" s="139" t="s">
        <v>47</v>
      </c>
      <c r="B136" s="44" t="s">
        <v>543</v>
      </c>
      <c r="C136" s="140" t="s">
        <v>547</v>
      </c>
      <c r="D136" s="58" t="s">
        <v>92</v>
      </c>
      <c r="E136" s="51" t="s">
        <v>548</v>
      </c>
      <c r="F136" s="51" t="s">
        <v>549</v>
      </c>
      <c r="G136" s="23" t="s">
        <v>212</v>
      </c>
      <c r="H136" s="23" t="s">
        <v>79</v>
      </c>
      <c r="I136" s="23" t="n">
        <f aca="false">COUNTIFS('Problem Tracker'!$C:$C,"Dynamic Programming",'Problem Tracker'!$D:$D,"Subsequence DP",'Problem Tracker'!$E:$E,"Two-String DP (LCS / Edit Distance)")</f>
        <v>7</v>
      </c>
      <c r="J136" s="24" t="n">
        <f aca="false">COUNTIFS('Problem Tracker'!$C:$C,"Dynamic Programming",'Problem Tracker'!$D:$D,"Subsequence DP",'Problem Tracker'!$E:$E,"Two-String DP (LCS / Edit Distance)",'Problem Tracker'!$H:$H,"Easy")</f>
        <v>0</v>
      </c>
      <c r="K136" s="25" t="n">
        <f aca="false">COUNTIFS('Problem Tracker'!$C:$C,"Dynamic Programming",'Problem Tracker'!$D:$D,"Subsequence DP",'Problem Tracker'!$E:$E,"Two-String DP (LCS / Edit Distance)",'Problem Tracker'!$H:$H,"Medium")</f>
        <v>5</v>
      </c>
      <c r="L136" s="26" t="n">
        <f aca="false">COUNTIFS('Problem Tracker'!$C:$C,"Dynamic Programming",'Problem Tracker'!$D:$D,"Subsequence DP",'Problem Tracker'!$E:$E,"Two-String DP (LCS / Edit Distance)",'Problem Tracker'!$H:$H,"Hard")</f>
        <v>2</v>
      </c>
      <c r="M136" s="23" t="n">
        <f aca="false">COUNTIFS('Problem Tracker'!$C:$C,"Dynamic Programming",'Problem Tracker'!$D:$D,"Subsequence DP",'Problem Tracker'!$E:$E,"Two-String DP (LCS / Edit Distance)",'Problem Tracker'!$M:$M,"Solved")+COUNTIFS('Problem Tracker'!$C:$C,"Dynamic Programming",'Problem Tracker'!$D:$D,"Subsequence DP",'Problem Tracker'!$E:$E,"Two-String DP (LCS / Edit Distance)",'Problem Tracker'!$M:$M,"Mastered")</f>
        <v>0</v>
      </c>
      <c r="N136" s="28" t="n">
        <f aca="false">IF(I136=0,0,M136/I136)</f>
        <v>0</v>
      </c>
    </row>
    <row r="137" customFormat="false" ht="15" hidden="false" customHeight="false" outlineLevel="0" collapsed="false">
      <c r="A137" s="139" t="s">
        <v>47</v>
      </c>
      <c r="B137" s="44" t="s">
        <v>543</v>
      </c>
      <c r="C137" s="140" t="s">
        <v>550</v>
      </c>
      <c r="D137" s="59" t="s">
        <v>101</v>
      </c>
      <c r="E137" s="51" t="s">
        <v>551</v>
      </c>
      <c r="F137" s="51" t="s">
        <v>552</v>
      </c>
      <c r="G137" s="23" t="s">
        <v>212</v>
      </c>
      <c r="H137" s="23" t="s">
        <v>79</v>
      </c>
      <c r="I137" s="23" t="n">
        <f aca="false">COUNTIFS('Problem Tracker'!$C:$C,"Dynamic Programming",'Problem Tracker'!$D:$D,"Subsequence DP",'Problem Tracker'!$E:$E,"Pattern / Wildcard Matching DP")</f>
        <v>2</v>
      </c>
      <c r="J137" s="24" t="n">
        <f aca="false">COUNTIFS('Problem Tracker'!$C:$C,"Dynamic Programming",'Problem Tracker'!$D:$D,"Subsequence DP",'Problem Tracker'!$E:$E,"Pattern / Wildcard Matching DP",'Problem Tracker'!$H:$H,"Easy")</f>
        <v>0</v>
      </c>
      <c r="K137" s="25" t="n">
        <f aca="false">COUNTIFS('Problem Tracker'!$C:$C,"Dynamic Programming",'Problem Tracker'!$D:$D,"Subsequence DP",'Problem Tracker'!$E:$E,"Pattern / Wildcard Matching DP",'Problem Tracker'!$H:$H,"Medium")</f>
        <v>0</v>
      </c>
      <c r="L137" s="26" t="n">
        <f aca="false">COUNTIFS('Problem Tracker'!$C:$C,"Dynamic Programming",'Problem Tracker'!$D:$D,"Subsequence DP",'Problem Tracker'!$E:$E,"Pattern / Wildcard Matching DP",'Problem Tracker'!$H:$H,"Hard")</f>
        <v>2</v>
      </c>
      <c r="M137" s="23" t="n">
        <f aca="false">COUNTIFS('Problem Tracker'!$C:$C,"Dynamic Programming",'Problem Tracker'!$D:$D,"Subsequence DP",'Problem Tracker'!$E:$E,"Pattern / Wildcard Matching DP",'Problem Tracker'!$M:$M,"Solved")+COUNTIFS('Problem Tracker'!$C:$C,"Dynamic Programming",'Problem Tracker'!$D:$D,"Subsequence DP",'Problem Tracker'!$E:$E,"Pattern / Wildcard Matching DP",'Problem Tracker'!$M:$M,"Mastered")</f>
        <v>0</v>
      </c>
      <c r="N137" s="28" t="n">
        <f aca="false">IF(I137=0,0,M137/I137)</f>
        <v>0</v>
      </c>
    </row>
    <row r="138" customFormat="false" ht="23.85" hidden="false" customHeight="false" outlineLevel="0" collapsed="false">
      <c r="A138" s="139" t="s">
        <v>47</v>
      </c>
      <c r="B138" s="44" t="s">
        <v>543</v>
      </c>
      <c r="C138" s="140" t="s">
        <v>553</v>
      </c>
      <c r="D138" s="59" t="s">
        <v>101</v>
      </c>
      <c r="E138" s="51" t="s">
        <v>554</v>
      </c>
      <c r="F138" s="51" t="s">
        <v>555</v>
      </c>
      <c r="G138" s="23" t="s">
        <v>182</v>
      </c>
      <c r="H138" s="23" t="s">
        <v>79</v>
      </c>
      <c r="I138" s="23" t="n">
        <f aca="false">COUNTIFS('Problem Tracker'!$C:$C,"Dynamic Programming",'Problem Tracker'!$D:$D,"Subsequence DP",'Problem Tracker'!$E:$E,"Palindromic DP")</f>
        <v>3</v>
      </c>
      <c r="J138" s="24" t="n">
        <f aca="false">COUNTIFS('Problem Tracker'!$C:$C,"Dynamic Programming",'Problem Tracker'!$D:$D,"Subsequence DP",'Problem Tracker'!$E:$E,"Palindromic DP",'Problem Tracker'!$H:$H,"Easy")</f>
        <v>0</v>
      </c>
      <c r="K138" s="25" t="n">
        <f aca="false">COUNTIFS('Problem Tracker'!$C:$C,"Dynamic Programming",'Problem Tracker'!$D:$D,"Subsequence DP",'Problem Tracker'!$E:$E,"Palindromic DP",'Problem Tracker'!$H:$H,"Medium")</f>
        <v>1</v>
      </c>
      <c r="L138" s="26" t="n">
        <f aca="false">COUNTIFS('Problem Tracker'!$C:$C,"Dynamic Programming",'Problem Tracker'!$D:$D,"Subsequence DP",'Problem Tracker'!$E:$E,"Palindromic DP",'Problem Tracker'!$H:$H,"Hard")</f>
        <v>2</v>
      </c>
      <c r="M138" s="23" t="n">
        <f aca="false">COUNTIFS('Problem Tracker'!$C:$C,"Dynamic Programming",'Problem Tracker'!$D:$D,"Subsequence DP",'Problem Tracker'!$E:$E,"Palindromic DP",'Problem Tracker'!$M:$M,"Solved")+COUNTIFS('Problem Tracker'!$C:$C,"Dynamic Programming",'Problem Tracker'!$D:$D,"Subsequence DP",'Problem Tracker'!$E:$E,"Palindromic DP",'Problem Tracker'!$M:$M,"Mastered")</f>
        <v>0</v>
      </c>
      <c r="N138" s="28" t="n">
        <f aca="false">IF(I138=0,0,M138/I138)</f>
        <v>0</v>
      </c>
    </row>
    <row r="139" customFormat="false" ht="23.85" hidden="false" customHeight="false" outlineLevel="0" collapsed="false">
      <c r="A139" s="139" t="s">
        <v>47</v>
      </c>
      <c r="B139" s="44" t="s">
        <v>556</v>
      </c>
      <c r="C139" s="140" t="s">
        <v>557</v>
      </c>
      <c r="D139" s="59" t="s">
        <v>101</v>
      </c>
      <c r="E139" s="51" t="s">
        <v>558</v>
      </c>
      <c r="F139" s="51" t="s">
        <v>559</v>
      </c>
      <c r="G139" s="23" t="s">
        <v>530</v>
      </c>
      <c r="H139" s="23" t="s">
        <v>50</v>
      </c>
      <c r="I139" s="23" t="n">
        <f aca="false">COUNTIFS('Problem Tracker'!$C:$C,"Dynamic Programming",'Problem Tracker'!$D:$D,"Interval DP &amp; Games",'Problem Tracker'!$E:$E,"Interval DP (Matrix Chain Multiplication)")</f>
        <v>5</v>
      </c>
      <c r="J139" s="24" t="n">
        <f aca="false">COUNTIFS('Problem Tracker'!$C:$C,"Dynamic Programming",'Problem Tracker'!$D:$D,"Interval DP &amp; Games",'Problem Tracker'!$E:$E,"Interval DP (Matrix Chain Multiplication)",'Problem Tracker'!$H:$H,"Easy")</f>
        <v>0</v>
      </c>
      <c r="K139" s="25" t="n">
        <f aca="false">COUNTIFS('Problem Tracker'!$C:$C,"Dynamic Programming",'Problem Tracker'!$D:$D,"Interval DP &amp; Games",'Problem Tracker'!$E:$E,"Interval DP (Matrix Chain Multiplication)",'Problem Tracker'!$H:$H,"Medium")</f>
        <v>3</v>
      </c>
      <c r="L139" s="26" t="n">
        <f aca="false">COUNTIFS('Problem Tracker'!$C:$C,"Dynamic Programming",'Problem Tracker'!$D:$D,"Interval DP &amp; Games",'Problem Tracker'!$E:$E,"Interval DP (Matrix Chain Multiplication)",'Problem Tracker'!$H:$H,"Hard")</f>
        <v>2</v>
      </c>
      <c r="M139" s="23" t="n">
        <f aca="false">COUNTIFS('Problem Tracker'!$C:$C,"Dynamic Programming",'Problem Tracker'!$D:$D,"Interval DP &amp; Games",'Problem Tracker'!$E:$E,"Interval DP (Matrix Chain Multiplication)",'Problem Tracker'!$M:$M,"Solved")+COUNTIFS('Problem Tracker'!$C:$C,"Dynamic Programming",'Problem Tracker'!$D:$D,"Interval DP &amp; Games",'Problem Tracker'!$E:$E,"Interval DP (Matrix Chain Multiplication)",'Problem Tracker'!$M:$M,"Mastered")</f>
        <v>0</v>
      </c>
      <c r="N139" s="28" t="n">
        <f aca="false">IF(I139=0,0,M139/I139)</f>
        <v>0</v>
      </c>
    </row>
    <row r="140" customFormat="false" ht="15" hidden="false" customHeight="false" outlineLevel="0" collapsed="false">
      <c r="A140" s="139" t="s">
        <v>47</v>
      </c>
      <c r="B140" s="44" t="s">
        <v>556</v>
      </c>
      <c r="C140" s="140" t="s">
        <v>560</v>
      </c>
      <c r="D140" s="70" t="s">
        <v>9</v>
      </c>
      <c r="E140" s="51" t="s">
        <v>561</v>
      </c>
      <c r="F140" s="51" t="s">
        <v>562</v>
      </c>
      <c r="G140" s="23" t="s">
        <v>182</v>
      </c>
      <c r="H140" s="23" t="s">
        <v>50</v>
      </c>
      <c r="I140" s="23" t="n">
        <f aca="false">COUNTIFS('Problem Tracker'!$C:$C,"Dynamic Programming",'Problem Tracker'!$D:$D,"Interval DP &amp; Games",'Problem Tracker'!$E:$E,"Game Theory (Minimax DP)")</f>
        <v>2</v>
      </c>
      <c r="J140" s="24" t="n">
        <f aca="false">COUNTIFS('Problem Tracker'!$C:$C,"Dynamic Programming",'Problem Tracker'!$D:$D,"Interval DP &amp; Games",'Problem Tracker'!$E:$E,"Game Theory (Minimax DP)",'Problem Tracker'!$H:$H,"Easy")</f>
        <v>0</v>
      </c>
      <c r="K140" s="25" t="n">
        <f aca="false">COUNTIFS('Problem Tracker'!$C:$C,"Dynamic Programming",'Problem Tracker'!$D:$D,"Interval DP &amp; Games",'Problem Tracker'!$E:$E,"Game Theory (Minimax DP)",'Problem Tracker'!$H:$H,"Medium")</f>
        <v>2</v>
      </c>
      <c r="L140" s="26" t="n">
        <f aca="false">COUNTIFS('Problem Tracker'!$C:$C,"Dynamic Programming",'Problem Tracker'!$D:$D,"Interval DP &amp; Games",'Problem Tracker'!$E:$E,"Game Theory (Minimax DP)",'Problem Tracker'!$H:$H,"Hard")</f>
        <v>0</v>
      </c>
      <c r="M140" s="23" t="n">
        <f aca="false">COUNTIFS('Problem Tracker'!$C:$C,"Dynamic Programming",'Problem Tracker'!$D:$D,"Interval DP &amp; Games",'Problem Tracker'!$E:$E,"Game Theory (Minimax DP)",'Problem Tracker'!$M:$M,"Solved")+COUNTIFS('Problem Tracker'!$C:$C,"Dynamic Programming",'Problem Tracker'!$D:$D,"Interval DP &amp; Games",'Problem Tracker'!$E:$E,"Game Theory (Minimax DP)",'Problem Tracker'!$M:$M,"Mastered")</f>
        <v>0</v>
      </c>
      <c r="N140" s="28" t="n">
        <f aca="false">IF(I140=0,0,M140/I140)</f>
        <v>0</v>
      </c>
    </row>
    <row r="141" customFormat="false" ht="23.85" hidden="false" customHeight="false" outlineLevel="0" collapsed="false">
      <c r="A141" s="139" t="s">
        <v>47</v>
      </c>
      <c r="B141" s="44" t="s">
        <v>563</v>
      </c>
      <c r="C141" s="140" t="s">
        <v>564</v>
      </c>
      <c r="D141" s="58" t="s">
        <v>92</v>
      </c>
      <c r="E141" s="51" t="s">
        <v>565</v>
      </c>
      <c r="F141" s="51" t="s">
        <v>566</v>
      </c>
      <c r="G141" s="23" t="s">
        <v>104</v>
      </c>
      <c r="H141" s="23" t="s">
        <v>79</v>
      </c>
      <c r="I141" s="23" t="n">
        <f aca="false">COUNTIFS('Problem Tracker'!$C:$C,"Dynamic Programming",'Problem Tracker'!$D:$D,"State Machine DP",'Problem Tracker'!$E:$E,"Stock Buy / Sell States")</f>
        <v>5</v>
      </c>
      <c r="J141" s="24" t="n">
        <f aca="false">COUNTIFS('Problem Tracker'!$C:$C,"Dynamic Programming",'Problem Tracker'!$D:$D,"State Machine DP",'Problem Tracker'!$E:$E,"Stock Buy / Sell States",'Problem Tracker'!$H:$H,"Easy")</f>
        <v>0</v>
      </c>
      <c r="K141" s="25" t="n">
        <f aca="false">COUNTIFS('Problem Tracker'!$C:$C,"Dynamic Programming",'Problem Tracker'!$D:$D,"State Machine DP",'Problem Tracker'!$E:$E,"Stock Buy / Sell States",'Problem Tracker'!$H:$H,"Medium")</f>
        <v>3</v>
      </c>
      <c r="L141" s="26" t="n">
        <f aca="false">COUNTIFS('Problem Tracker'!$C:$C,"Dynamic Programming",'Problem Tracker'!$D:$D,"State Machine DP",'Problem Tracker'!$E:$E,"Stock Buy / Sell States",'Problem Tracker'!$H:$H,"Hard")</f>
        <v>2</v>
      </c>
      <c r="M141" s="23" t="n">
        <f aca="false">COUNTIFS('Problem Tracker'!$C:$C,"Dynamic Programming",'Problem Tracker'!$D:$D,"State Machine DP",'Problem Tracker'!$E:$E,"Stock Buy / Sell States",'Problem Tracker'!$M:$M,"Solved")+COUNTIFS('Problem Tracker'!$C:$C,"Dynamic Programming",'Problem Tracker'!$D:$D,"State Machine DP",'Problem Tracker'!$E:$E,"Stock Buy / Sell States",'Problem Tracker'!$M:$M,"Mastered")</f>
        <v>0</v>
      </c>
      <c r="N141" s="28" t="n">
        <f aca="false">IF(I141=0,0,M141/I141)</f>
        <v>0</v>
      </c>
    </row>
    <row r="142" customFormat="false" ht="23.85" hidden="false" customHeight="false" outlineLevel="0" collapsed="false">
      <c r="A142" s="139" t="s">
        <v>47</v>
      </c>
      <c r="B142" s="44" t="s">
        <v>567</v>
      </c>
      <c r="C142" s="140" t="s">
        <v>568</v>
      </c>
      <c r="D142" s="59" t="s">
        <v>101</v>
      </c>
      <c r="E142" s="51" t="s">
        <v>569</v>
      </c>
      <c r="F142" s="51" t="s">
        <v>570</v>
      </c>
      <c r="G142" s="23" t="s">
        <v>99</v>
      </c>
      <c r="H142" s="23" t="s">
        <v>50</v>
      </c>
      <c r="I142" s="23" t="n">
        <f aca="false">COUNTIFS('Problem Tracker'!$C:$C,"Dynamic Programming",'Problem Tracker'!$D:$D,"Advanced DP",'Problem Tracker'!$E:$E,"DP on Trees")</f>
        <v>4</v>
      </c>
      <c r="J142" s="24" t="n">
        <f aca="false">COUNTIFS('Problem Tracker'!$C:$C,"Dynamic Programming",'Problem Tracker'!$D:$D,"Advanced DP",'Problem Tracker'!$E:$E,"DP on Trees",'Problem Tracker'!$H:$H,"Easy")</f>
        <v>0</v>
      </c>
      <c r="K142" s="25" t="n">
        <f aca="false">COUNTIFS('Problem Tracker'!$C:$C,"Dynamic Programming",'Problem Tracker'!$D:$D,"Advanced DP",'Problem Tracker'!$E:$E,"DP on Trees",'Problem Tracker'!$H:$H,"Medium")</f>
        <v>3</v>
      </c>
      <c r="L142" s="26" t="n">
        <f aca="false">COUNTIFS('Problem Tracker'!$C:$C,"Dynamic Programming",'Problem Tracker'!$D:$D,"Advanced DP",'Problem Tracker'!$E:$E,"DP on Trees",'Problem Tracker'!$H:$H,"Hard")</f>
        <v>1</v>
      </c>
      <c r="M142" s="23" t="n">
        <f aca="false">COUNTIFS('Problem Tracker'!$C:$C,"Dynamic Programming",'Problem Tracker'!$D:$D,"Advanced DP",'Problem Tracker'!$E:$E,"DP on Trees",'Problem Tracker'!$M:$M,"Solved")+COUNTIFS('Problem Tracker'!$C:$C,"Dynamic Programming",'Problem Tracker'!$D:$D,"Advanced DP",'Problem Tracker'!$E:$E,"DP on Trees",'Problem Tracker'!$M:$M,"Mastered")</f>
        <v>0</v>
      </c>
      <c r="N142" s="28" t="n">
        <f aca="false">IF(I142=0,0,M142/I142)</f>
        <v>0</v>
      </c>
    </row>
    <row r="143" customFormat="false" ht="15" hidden="false" customHeight="false" outlineLevel="0" collapsed="false">
      <c r="A143" s="139" t="s">
        <v>47</v>
      </c>
      <c r="B143" s="44" t="s">
        <v>567</v>
      </c>
      <c r="C143" s="140" t="s">
        <v>571</v>
      </c>
      <c r="D143" s="70" t="s">
        <v>9</v>
      </c>
      <c r="E143" s="51" t="s">
        <v>572</v>
      </c>
      <c r="F143" s="51" t="s">
        <v>573</v>
      </c>
      <c r="G143" s="23" t="s">
        <v>574</v>
      </c>
      <c r="H143" s="23" t="s">
        <v>50</v>
      </c>
      <c r="I143" s="23" t="n">
        <f aca="false">COUNTIFS('Problem Tracker'!$C:$C,"Dynamic Programming",'Problem Tracker'!$D:$D,"Advanced DP",'Problem Tracker'!$E:$E,"Bitmask DP")</f>
        <v>3</v>
      </c>
      <c r="J143" s="24" t="n">
        <f aca="false">COUNTIFS('Problem Tracker'!$C:$C,"Dynamic Programming",'Problem Tracker'!$D:$D,"Advanced DP",'Problem Tracker'!$E:$E,"Bitmask DP",'Problem Tracker'!$H:$H,"Easy")</f>
        <v>0</v>
      </c>
      <c r="K143" s="25" t="n">
        <f aca="false">COUNTIFS('Problem Tracker'!$C:$C,"Dynamic Programming",'Problem Tracker'!$D:$D,"Advanced DP",'Problem Tracker'!$E:$E,"Bitmask DP",'Problem Tracker'!$H:$H,"Medium")</f>
        <v>2</v>
      </c>
      <c r="L143" s="26" t="n">
        <f aca="false">COUNTIFS('Problem Tracker'!$C:$C,"Dynamic Programming",'Problem Tracker'!$D:$D,"Advanced DP",'Problem Tracker'!$E:$E,"Bitmask DP",'Problem Tracker'!$H:$H,"Hard")</f>
        <v>1</v>
      </c>
      <c r="M143" s="23" t="n">
        <f aca="false">COUNTIFS('Problem Tracker'!$C:$C,"Dynamic Programming",'Problem Tracker'!$D:$D,"Advanced DP",'Problem Tracker'!$E:$E,"Bitmask DP",'Problem Tracker'!$M:$M,"Solved")+COUNTIFS('Problem Tracker'!$C:$C,"Dynamic Programming",'Problem Tracker'!$D:$D,"Advanced DP",'Problem Tracker'!$E:$E,"Bitmask DP",'Problem Tracker'!$M:$M,"Mastered")</f>
        <v>0</v>
      </c>
      <c r="N143" s="28" t="n">
        <f aca="false">IF(I143=0,0,M143/I143)</f>
        <v>0</v>
      </c>
    </row>
    <row r="144" customFormat="false" ht="15" hidden="false" customHeight="false" outlineLevel="0" collapsed="false">
      <c r="A144" s="139" t="s">
        <v>47</v>
      </c>
      <c r="B144" s="44" t="s">
        <v>567</v>
      </c>
      <c r="C144" s="140" t="s">
        <v>575</v>
      </c>
      <c r="D144" s="70" t="s">
        <v>9</v>
      </c>
      <c r="E144" s="51" t="s">
        <v>576</v>
      </c>
      <c r="F144" s="51" t="s">
        <v>577</v>
      </c>
      <c r="G144" s="23" t="s">
        <v>578</v>
      </c>
      <c r="H144" s="23" t="s">
        <v>50</v>
      </c>
      <c r="I144" s="23" t="n">
        <f aca="false">COUNTIFS('Problem Tracker'!$C:$C,"Dynamic Programming",'Problem Tracker'!$D:$D,"Advanced DP",'Problem Tracker'!$E:$E,"Digit DP")</f>
        <v>2</v>
      </c>
      <c r="J144" s="24" t="n">
        <f aca="false">COUNTIFS('Problem Tracker'!$C:$C,"Dynamic Programming",'Problem Tracker'!$D:$D,"Advanced DP",'Problem Tracker'!$E:$E,"Digit DP",'Problem Tracker'!$H:$H,"Easy")</f>
        <v>0</v>
      </c>
      <c r="K144" s="25" t="n">
        <f aca="false">COUNTIFS('Problem Tracker'!$C:$C,"Dynamic Programming",'Problem Tracker'!$D:$D,"Advanced DP",'Problem Tracker'!$E:$E,"Digit DP",'Problem Tracker'!$H:$H,"Medium")</f>
        <v>0</v>
      </c>
      <c r="L144" s="26" t="n">
        <f aca="false">COUNTIFS('Problem Tracker'!$C:$C,"Dynamic Programming",'Problem Tracker'!$D:$D,"Advanced DP",'Problem Tracker'!$E:$E,"Digit DP",'Problem Tracker'!$H:$H,"Hard")</f>
        <v>2</v>
      </c>
      <c r="M144" s="23" t="n">
        <f aca="false">COUNTIFS('Problem Tracker'!$C:$C,"Dynamic Programming",'Problem Tracker'!$D:$D,"Advanced DP",'Problem Tracker'!$E:$E,"Digit DP",'Problem Tracker'!$M:$M,"Solved")+COUNTIFS('Problem Tracker'!$C:$C,"Dynamic Programming",'Problem Tracker'!$D:$D,"Advanced DP",'Problem Tracker'!$E:$E,"Digit DP",'Problem Tracker'!$M:$M,"Mastered")</f>
        <v>0</v>
      </c>
      <c r="N144" s="28" t="n">
        <f aca="false">IF(I144=0,0,M144/I144)</f>
        <v>0</v>
      </c>
    </row>
    <row r="145" customFormat="false" ht="15" hidden="false" customHeight="false" outlineLevel="0" collapsed="false">
      <c r="A145" s="141" t="s">
        <v>579</v>
      </c>
      <c r="B145" s="142"/>
      <c r="C145" s="142"/>
      <c r="D145" s="142"/>
      <c r="E145" s="142"/>
      <c r="F145" s="142"/>
      <c r="G145" s="142"/>
      <c r="H145" s="142"/>
      <c r="I145" s="142" t="n">
        <f aca="false">COUNTIF('Problem Tracker'!$C:$C,"Sorting")</f>
        <v>12</v>
      </c>
      <c r="J145" s="142"/>
      <c r="K145" s="142"/>
      <c r="L145" s="142"/>
      <c r="M145" s="142" t="n">
        <f aca="false">COUNTIFS('Problem Tracker'!$C:$C,"Sorting",'Problem Tracker'!$M:$M,"Solved")+COUNTIFS('Problem Tracker'!$C:$C,"Sorting",'Problem Tracker'!$M:$M,"Mastered")</f>
        <v>0</v>
      </c>
      <c r="N145" s="143" t="n">
        <f aca="false">IF(I145=0,0,M145/I145)</f>
        <v>0</v>
      </c>
    </row>
    <row r="146" customFormat="false" ht="23.85" hidden="false" customHeight="false" outlineLevel="0" collapsed="false">
      <c r="A146" s="144" t="s">
        <v>49</v>
      </c>
      <c r="B146" s="45" t="s">
        <v>580</v>
      </c>
      <c r="C146" s="145" t="s">
        <v>581</v>
      </c>
      <c r="D146" s="59" t="s">
        <v>101</v>
      </c>
      <c r="E146" s="51" t="s">
        <v>582</v>
      </c>
      <c r="F146" s="51" t="s">
        <v>583</v>
      </c>
      <c r="G146" s="23" t="s">
        <v>314</v>
      </c>
      <c r="H146" s="23" t="s">
        <v>50</v>
      </c>
      <c r="I146" s="23" t="n">
        <f aca="false">COUNTIFS('Problem Tracker'!$C:$C,"Sorting",'Problem Tracker'!$D:$D,"Sorting Applications",'Problem Tracker'!$E:$E,"Merge Sort Based")</f>
        <v>4</v>
      </c>
      <c r="J146" s="24" t="n">
        <f aca="false">COUNTIFS('Problem Tracker'!$C:$C,"Sorting",'Problem Tracker'!$D:$D,"Sorting Applications",'Problem Tracker'!$E:$E,"Merge Sort Based",'Problem Tracker'!$H:$H,"Easy")</f>
        <v>0</v>
      </c>
      <c r="K146" s="25" t="n">
        <f aca="false">COUNTIFS('Problem Tracker'!$C:$C,"Sorting",'Problem Tracker'!$D:$D,"Sorting Applications",'Problem Tracker'!$E:$E,"Merge Sort Based",'Problem Tracker'!$H:$H,"Medium")</f>
        <v>2</v>
      </c>
      <c r="L146" s="26" t="n">
        <f aca="false">COUNTIFS('Problem Tracker'!$C:$C,"Sorting",'Problem Tracker'!$D:$D,"Sorting Applications",'Problem Tracker'!$E:$E,"Merge Sort Based",'Problem Tracker'!$H:$H,"Hard")</f>
        <v>2</v>
      </c>
      <c r="M146" s="23" t="n">
        <f aca="false">COUNTIFS('Problem Tracker'!$C:$C,"Sorting",'Problem Tracker'!$D:$D,"Sorting Applications",'Problem Tracker'!$E:$E,"Merge Sort Based",'Problem Tracker'!$M:$M,"Solved")+COUNTIFS('Problem Tracker'!$C:$C,"Sorting",'Problem Tracker'!$D:$D,"Sorting Applications",'Problem Tracker'!$E:$E,"Merge Sort Based",'Problem Tracker'!$M:$M,"Mastered")</f>
        <v>0</v>
      </c>
      <c r="N146" s="28" t="n">
        <f aca="false">IF(I146=0,0,M146/I146)</f>
        <v>0</v>
      </c>
    </row>
    <row r="147" customFormat="false" ht="15" hidden="false" customHeight="false" outlineLevel="0" collapsed="false">
      <c r="A147" s="144" t="s">
        <v>49</v>
      </c>
      <c r="B147" s="45" t="s">
        <v>580</v>
      </c>
      <c r="C147" s="145" t="s">
        <v>584</v>
      </c>
      <c r="D147" s="70" t="s">
        <v>9</v>
      </c>
      <c r="E147" s="51" t="s">
        <v>585</v>
      </c>
      <c r="F147" s="51" t="s">
        <v>586</v>
      </c>
      <c r="G147" s="23" t="s">
        <v>201</v>
      </c>
      <c r="H147" s="23" t="s">
        <v>50</v>
      </c>
      <c r="I147" s="23" t="n">
        <f aca="false">COUNTIFS('Problem Tracker'!$C:$C,"Sorting",'Problem Tracker'!$D:$D,"Sorting Applications",'Problem Tracker'!$E:$E,"Quickselect / Wiggle")</f>
        <v>1</v>
      </c>
      <c r="J147" s="24" t="n">
        <f aca="false">COUNTIFS('Problem Tracker'!$C:$C,"Sorting",'Problem Tracker'!$D:$D,"Sorting Applications",'Problem Tracker'!$E:$E,"Quickselect / Wiggle",'Problem Tracker'!$H:$H,"Easy")</f>
        <v>0</v>
      </c>
      <c r="K147" s="25" t="n">
        <f aca="false">COUNTIFS('Problem Tracker'!$C:$C,"Sorting",'Problem Tracker'!$D:$D,"Sorting Applications",'Problem Tracker'!$E:$E,"Quickselect / Wiggle",'Problem Tracker'!$H:$H,"Medium")</f>
        <v>1</v>
      </c>
      <c r="L147" s="26" t="n">
        <f aca="false">COUNTIFS('Problem Tracker'!$C:$C,"Sorting",'Problem Tracker'!$D:$D,"Sorting Applications",'Problem Tracker'!$E:$E,"Quickselect / Wiggle",'Problem Tracker'!$H:$H,"Hard")</f>
        <v>0</v>
      </c>
      <c r="M147" s="23" t="n">
        <f aca="false">COUNTIFS('Problem Tracker'!$C:$C,"Sorting",'Problem Tracker'!$D:$D,"Sorting Applications",'Problem Tracker'!$E:$E,"Quickselect / Wiggle",'Problem Tracker'!$M:$M,"Solved")+COUNTIFS('Problem Tracker'!$C:$C,"Sorting",'Problem Tracker'!$D:$D,"Sorting Applications",'Problem Tracker'!$E:$E,"Quickselect / Wiggle",'Problem Tracker'!$M:$M,"Mastered")</f>
        <v>0</v>
      </c>
      <c r="N147" s="28" t="n">
        <f aca="false">IF(I147=0,0,M147/I147)</f>
        <v>0</v>
      </c>
    </row>
    <row r="148" customFormat="false" ht="23.85" hidden="false" customHeight="false" outlineLevel="0" collapsed="false">
      <c r="A148" s="144" t="s">
        <v>49</v>
      </c>
      <c r="B148" s="45" t="s">
        <v>580</v>
      </c>
      <c r="C148" s="145" t="s">
        <v>587</v>
      </c>
      <c r="D148" s="59" t="s">
        <v>101</v>
      </c>
      <c r="E148" s="51" t="s">
        <v>588</v>
      </c>
      <c r="F148" s="51" t="s">
        <v>589</v>
      </c>
      <c r="G148" s="23" t="s">
        <v>314</v>
      </c>
      <c r="H148" s="23" t="s">
        <v>50</v>
      </c>
      <c r="I148" s="23" t="n">
        <f aca="false">COUNTIFS('Problem Tracker'!$C:$C,"Sorting",'Problem Tracker'!$D:$D,"Sorting Applications",'Problem Tracker'!$E:$E,"Custom Comparator")</f>
        <v>3</v>
      </c>
      <c r="J148" s="24" t="n">
        <f aca="false">COUNTIFS('Problem Tracker'!$C:$C,"Sorting",'Problem Tracker'!$D:$D,"Sorting Applications",'Problem Tracker'!$E:$E,"Custom Comparator",'Problem Tracker'!$H:$H,"Easy")</f>
        <v>1</v>
      </c>
      <c r="K148" s="25" t="n">
        <f aca="false">COUNTIFS('Problem Tracker'!$C:$C,"Sorting",'Problem Tracker'!$D:$D,"Sorting Applications",'Problem Tracker'!$E:$E,"Custom Comparator",'Problem Tracker'!$H:$H,"Medium")</f>
        <v>2</v>
      </c>
      <c r="L148" s="26" t="n">
        <f aca="false">COUNTIFS('Problem Tracker'!$C:$C,"Sorting",'Problem Tracker'!$D:$D,"Sorting Applications",'Problem Tracker'!$E:$E,"Custom Comparator",'Problem Tracker'!$H:$H,"Hard")</f>
        <v>0</v>
      </c>
      <c r="M148" s="23" t="n">
        <f aca="false">COUNTIFS('Problem Tracker'!$C:$C,"Sorting",'Problem Tracker'!$D:$D,"Sorting Applications",'Problem Tracker'!$E:$E,"Custom Comparator",'Problem Tracker'!$M:$M,"Solved")+COUNTIFS('Problem Tracker'!$C:$C,"Sorting",'Problem Tracker'!$D:$D,"Sorting Applications",'Problem Tracker'!$E:$E,"Custom Comparator",'Problem Tracker'!$M:$M,"Mastered")</f>
        <v>0</v>
      </c>
      <c r="N148" s="28" t="n">
        <f aca="false">IF(I148=0,0,M148/I148)</f>
        <v>0</v>
      </c>
    </row>
    <row r="149" customFormat="false" ht="15" hidden="false" customHeight="false" outlineLevel="0" collapsed="false">
      <c r="A149" s="144" t="s">
        <v>49</v>
      </c>
      <c r="B149" s="45" t="s">
        <v>580</v>
      </c>
      <c r="C149" s="145" t="s">
        <v>590</v>
      </c>
      <c r="D149" s="70" t="s">
        <v>9</v>
      </c>
      <c r="E149" s="51" t="s">
        <v>591</v>
      </c>
      <c r="F149" s="51" t="s">
        <v>592</v>
      </c>
      <c r="G149" s="23" t="s">
        <v>593</v>
      </c>
      <c r="H149" s="23" t="s">
        <v>50</v>
      </c>
      <c r="I149" s="23" t="n">
        <f aca="false">COUNTIFS('Problem Tracker'!$C:$C,"Sorting",'Problem Tracker'!$D:$D,"Sorting Applications",'Problem Tracker'!$E:$E,"Counting / Bucket Sort")</f>
        <v>4</v>
      </c>
      <c r="J149" s="24" t="n">
        <f aca="false">COUNTIFS('Problem Tracker'!$C:$C,"Sorting",'Problem Tracker'!$D:$D,"Sorting Applications",'Problem Tracker'!$E:$E,"Counting / Bucket Sort",'Problem Tracker'!$H:$H,"Easy")</f>
        <v>1</v>
      </c>
      <c r="K149" s="25" t="n">
        <f aca="false">COUNTIFS('Problem Tracker'!$C:$C,"Sorting",'Problem Tracker'!$D:$D,"Sorting Applications",'Problem Tracker'!$E:$E,"Counting / Bucket Sort",'Problem Tracker'!$H:$H,"Medium")</f>
        <v>2</v>
      </c>
      <c r="L149" s="26" t="n">
        <f aca="false">COUNTIFS('Problem Tracker'!$C:$C,"Sorting",'Problem Tracker'!$D:$D,"Sorting Applications",'Problem Tracker'!$E:$E,"Counting / Bucket Sort",'Problem Tracker'!$H:$H,"Hard")</f>
        <v>1</v>
      </c>
      <c r="M149" s="23" t="n">
        <f aca="false">COUNTIFS('Problem Tracker'!$C:$C,"Sorting",'Problem Tracker'!$D:$D,"Sorting Applications",'Problem Tracker'!$E:$E,"Counting / Bucket Sort",'Problem Tracker'!$M:$M,"Solved")+COUNTIFS('Problem Tracker'!$C:$C,"Sorting",'Problem Tracker'!$D:$D,"Sorting Applications",'Problem Tracker'!$E:$E,"Counting / Bucket Sort",'Problem Tracker'!$M:$M,"Mastered")</f>
        <v>0</v>
      </c>
      <c r="N149" s="28" t="n">
        <f aca="false">IF(I149=0,0,M149/I149)</f>
        <v>0</v>
      </c>
    </row>
    <row r="150" customFormat="false" ht="26.85" hidden="false" customHeight="false" outlineLevel="0" collapsed="false">
      <c r="A150" s="146" t="s">
        <v>594</v>
      </c>
      <c r="B150" s="147"/>
      <c r="C150" s="147"/>
      <c r="D150" s="147"/>
      <c r="E150" s="147"/>
      <c r="F150" s="147"/>
      <c r="G150" s="147"/>
      <c r="H150" s="147"/>
      <c r="I150" s="147" t="n">
        <f aca="false">COUNTIF('Problem Tracker'!$C:$C,"Math &amp; Geometry")</f>
        <v>13</v>
      </c>
      <c r="J150" s="147"/>
      <c r="K150" s="147"/>
      <c r="L150" s="147"/>
      <c r="M150" s="147" t="n">
        <f aca="false">COUNTIFS('Problem Tracker'!$C:$C,"Math &amp; Geometry",'Problem Tracker'!$M:$M,"Solved")+COUNTIFS('Problem Tracker'!$C:$C,"Math &amp; Geometry",'Problem Tracker'!$M:$M,"Mastered")</f>
        <v>0</v>
      </c>
      <c r="N150" s="148" t="n">
        <f aca="false">IF(I150=0,0,M150/I150)</f>
        <v>0</v>
      </c>
    </row>
    <row r="151" customFormat="false" ht="23.85" hidden="false" customHeight="false" outlineLevel="0" collapsed="false">
      <c r="A151" s="149" t="s">
        <v>51</v>
      </c>
      <c r="B151" s="46" t="s">
        <v>595</v>
      </c>
      <c r="C151" s="150" t="s">
        <v>596</v>
      </c>
      <c r="D151" s="70" t="s">
        <v>9</v>
      </c>
      <c r="E151" s="51" t="s">
        <v>597</v>
      </c>
      <c r="F151" s="51" t="s">
        <v>598</v>
      </c>
      <c r="G151" s="23" t="s">
        <v>599</v>
      </c>
      <c r="H151" s="23" t="s">
        <v>50</v>
      </c>
      <c r="I151" s="23" t="n">
        <f aca="false">COUNTIFS('Problem Tracker'!$C:$C,"Math &amp; Geometry",'Problem Tracker'!$D:$D,"Math",'Problem Tracker'!$E:$E,"Number Theory (GCD / Primes / Digits)")</f>
        <v>5</v>
      </c>
      <c r="J151" s="24" t="n">
        <f aca="false">COUNTIFS('Problem Tracker'!$C:$C,"Math &amp; Geometry",'Problem Tracker'!$D:$D,"Math",'Problem Tracker'!$E:$E,"Number Theory (GCD / Primes / Digits)",'Problem Tracker'!$H:$H,"Easy")</f>
        <v>3</v>
      </c>
      <c r="K151" s="25" t="n">
        <f aca="false">COUNTIFS('Problem Tracker'!$C:$C,"Math &amp; Geometry",'Problem Tracker'!$D:$D,"Math",'Problem Tracker'!$E:$E,"Number Theory (GCD / Primes / Digits)",'Problem Tracker'!$H:$H,"Medium")</f>
        <v>2</v>
      </c>
      <c r="L151" s="26" t="n">
        <f aca="false">COUNTIFS('Problem Tracker'!$C:$C,"Math &amp; Geometry",'Problem Tracker'!$D:$D,"Math",'Problem Tracker'!$E:$E,"Number Theory (GCD / Primes / Digits)",'Problem Tracker'!$H:$H,"Hard")</f>
        <v>0</v>
      </c>
      <c r="M151" s="23" t="n">
        <f aca="false">COUNTIFS('Problem Tracker'!$C:$C,"Math &amp; Geometry",'Problem Tracker'!$D:$D,"Math",'Problem Tracker'!$E:$E,"Number Theory (GCD / Primes / Digits)",'Problem Tracker'!$M:$M,"Solved")+COUNTIFS('Problem Tracker'!$C:$C,"Math &amp; Geometry",'Problem Tracker'!$D:$D,"Math",'Problem Tracker'!$E:$E,"Number Theory (GCD / Primes / Digits)",'Problem Tracker'!$M:$M,"Mastered")</f>
        <v>0</v>
      </c>
      <c r="N151" s="28" t="n">
        <f aca="false">IF(I151=0,0,M151/I151)</f>
        <v>0</v>
      </c>
    </row>
    <row r="152" customFormat="false" ht="15" hidden="false" customHeight="false" outlineLevel="0" collapsed="false">
      <c r="A152" s="149" t="s">
        <v>51</v>
      </c>
      <c r="B152" s="46" t="s">
        <v>595</v>
      </c>
      <c r="C152" s="150" t="s">
        <v>600</v>
      </c>
      <c r="D152" s="59" t="s">
        <v>101</v>
      </c>
      <c r="E152" s="51" t="s">
        <v>601</v>
      </c>
      <c r="F152" s="51" t="s">
        <v>602</v>
      </c>
      <c r="G152" s="23" t="s">
        <v>99</v>
      </c>
      <c r="H152" s="23" t="s">
        <v>50</v>
      </c>
      <c r="I152" s="23" t="n">
        <f aca="false">COUNTIFS('Problem Tracker'!$C:$C,"Math &amp; Geometry",'Problem Tracker'!$D:$D,"Math",'Problem Tracker'!$E:$E,"Randomized &amp; Sampling")</f>
        <v>4</v>
      </c>
      <c r="J152" s="24" t="n">
        <f aca="false">COUNTIFS('Problem Tracker'!$C:$C,"Math &amp; Geometry",'Problem Tracker'!$D:$D,"Math",'Problem Tracker'!$E:$E,"Randomized &amp; Sampling",'Problem Tracker'!$H:$H,"Easy")</f>
        <v>0</v>
      </c>
      <c r="K152" s="25" t="n">
        <f aca="false">COUNTIFS('Problem Tracker'!$C:$C,"Math &amp; Geometry",'Problem Tracker'!$D:$D,"Math",'Problem Tracker'!$E:$E,"Randomized &amp; Sampling",'Problem Tracker'!$H:$H,"Medium")</f>
        <v>4</v>
      </c>
      <c r="L152" s="26" t="n">
        <f aca="false">COUNTIFS('Problem Tracker'!$C:$C,"Math &amp; Geometry",'Problem Tracker'!$D:$D,"Math",'Problem Tracker'!$E:$E,"Randomized &amp; Sampling",'Problem Tracker'!$H:$H,"Hard")</f>
        <v>0</v>
      </c>
      <c r="M152" s="23" t="n">
        <f aca="false">COUNTIFS('Problem Tracker'!$C:$C,"Math &amp; Geometry",'Problem Tracker'!$D:$D,"Math",'Problem Tracker'!$E:$E,"Randomized &amp; Sampling",'Problem Tracker'!$M:$M,"Solved")+COUNTIFS('Problem Tracker'!$C:$C,"Math &amp; Geometry",'Problem Tracker'!$D:$D,"Math",'Problem Tracker'!$E:$E,"Randomized &amp; Sampling",'Problem Tracker'!$M:$M,"Mastered")</f>
        <v>0</v>
      </c>
      <c r="N152" s="28" t="n">
        <f aca="false">IF(I152=0,0,M152/I152)</f>
        <v>0</v>
      </c>
    </row>
    <row r="153" customFormat="false" ht="23.85" hidden="false" customHeight="false" outlineLevel="0" collapsed="false">
      <c r="A153" s="149" t="s">
        <v>51</v>
      </c>
      <c r="B153" s="46" t="s">
        <v>603</v>
      </c>
      <c r="C153" s="150" t="s">
        <v>604</v>
      </c>
      <c r="D153" s="70" t="s">
        <v>9</v>
      </c>
      <c r="E153" s="51" t="s">
        <v>605</v>
      </c>
      <c r="F153" s="51" t="s">
        <v>606</v>
      </c>
      <c r="G153" s="23" t="s">
        <v>182</v>
      </c>
      <c r="H153" s="23" t="s">
        <v>50</v>
      </c>
      <c r="I153" s="23" t="n">
        <f aca="false">COUNTIFS('Problem Tracker'!$C:$C,"Math &amp; Geometry",'Problem Tracker'!$D:$D,"Geometry",'Problem Tracker'!$E:$E,"Coordinate Geometry")</f>
        <v>4</v>
      </c>
      <c r="J153" s="24" t="n">
        <f aca="false">COUNTIFS('Problem Tracker'!$C:$C,"Math &amp; Geometry",'Problem Tracker'!$D:$D,"Geometry",'Problem Tracker'!$E:$E,"Coordinate Geometry",'Problem Tracker'!$H:$H,"Easy")</f>
        <v>1</v>
      </c>
      <c r="K153" s="25" t="n">
        <f aca="false">COUNTIFS('Problem Tracker'!$C:$C,"Math &amp; Geometry",'Problem Tracker'!$D:$D,"Geometry",'Problem Tracker'!$E:$E,"Coordinate Geometry",'Problem Tracker'!$H:$H,"Medium")</f>
        <v>2</v>
      </c>
      <c r="L153" s="26" t="n">
        <f aca="false">COUNTIFS('Problem Tracker'!$C:$C,"Math &amp; Geometry",'Problem Tracker'!$D:$D,"Geometry",'Problem Tracker'!$E:$E,"Coordinate Geometry",'Problem Tracker'!$H:$H,"Hard")</f>
        <v>1</v>
      </c>
      <c r="M153" s="23" t="n">
        <f aca="false">COUNTIFS('Problem Tracker'!$C:$C,"Math &amp; Geometry",'Problem Tracker'!$D:$D,"Geometry",'Problem Tracker'!$E:$E,"Coordinate Geometry",'Problem Tracker'!$M:$M,"Solved")+COUNTIFS('Problem Tracker'!$C:$C,"Math &amp; Geometry",'Problem Tracker'!$D:$D,"Geometry",'Problem Tracker'!$E:$E,"Coordinate Geometry",'Problem Tracker'!$M:$M,"Mastered")</f>
        <v>0</v>
      </c>
      <c r="N153" s="28" t="n">
        <f aca="false">IF(I153=0,0,M153/I153)</f>
        <v>0</v>
      </c>
    </row>
    <row r="154" customFormat="false" ht="15" hidden="false" customHeight="false" outlineLevel="0" collapsed="false">
      <c r="A154" s="151" t="s">
        <v>607</v>
      </c>
      <c r="B154" s="152"/>
      <c r="C154" s="152"/>
      <c r="D154" s="152"/>
      <c r="E154" s="152"/>
      <c r="F154" s="152"/>
      <c r="G154" s="152"/>
      <c r="H154" s="152"/>
      <c r="I154" s="152" t="n">
        <f aca="false">COUNTIF('Problem Tracker'!$C:$C,"Design")</f>
        <v>14</v>
      </c>
      <c r="J154" s="152"/>
      <c r="K154" s="152"/>
      <c r="L154" s="152"/>
      <c r="M154" s="152" t="n">
        <f aca="false">COUNTIFS('Problem Tracker'!$C:$C,"Design",'Problem Tracker'!$M:$M,"Solved")+COUNTIFS('Problem Tracker'!$C:$C,"Design",'Problem Tracker'!$M:$M,"Mastered")</f>
        <v>0</v>
      </c>
      <c r="N154" s="153" t="n">
        <f aca="false">IF(I154=0,0,M154/I154)</f>
        <v>0</v>
      </c>
    </row>
    <row r="155" customFormat="false" ht="23.85" hidden="false" customHeight="false" outlineLevel="0" collapsed="false">
      <c r="A155" s="154" t="s">
        <v>52</v>
      </c>
      <c r="B155" s="47" t="s">
        <v>608</v>
      </c>
      <c r="C155" s="155" t="s">
        <v>609</v>
      </c>
      <c r="D155" s="58" t="s">
        <v>92</v>
      </c>
      <c r="E155" s="51" t="s">
        <v>610</v>
      </c>
      <c r="F155" s="51" t="s">
        <v>611</v>
      </c>
      <c r="G155" s="23" t="s">
        <v>251</v>
      </c>
      <c r="H155" s="23" t="s">
        <v>53</v>
      </c>
      <c r="I155" s="23" t="n">
        <f aca="false">COUNTIFS('Problem Tracker'!$C:$C,"Design",'Problem Tracker'!$D:$D,"System / Data-Structure Design",'Problem Tracker'!$E:$E,"Cache Design (LRU / LFU)")</f>
        <v>2</v>
      </c>
      <c r="J155" s="24" t="n">
        <f aca="false">COUNTIFS('Problem Tracker'!$C:$C,"Design",'Problem Tracker'!$D:$D,"System / Data-Structure Design",'Problem Tracker'!$E:$E,"Cache Design (LRU / LFU)",'Problem Tracker'!$H:$H,"Easy")</f>
        <v>0</v>
      </c>
      <c r="K155" s="25" t="n">
        <f aca="false">COUNTIFS('Problem Tracker'!$C:$C,"Design",'Problem Tracker'!$D:$D,"System / Data-Structure Design",'Problem Tracker'!$E:$E,"Cache Design (LRU / LFU)",'Problem Tracker'!$H:$H,"Medium")</f>
        <v>1</v>
      </c>
      <c r="L155" s="26" t="n">
        <f aca="false">COUNTIFS('Problem Tracker'!$C:$C,"Design",'Problem Tracker'!$D:$D,"System / Data-Structure Design",'Problem Tracker'!$E:$E,"Cache Design (LRU / LFU)",'Problem Tracker'!$H:$H,"Hard")</f>
        <v>1</v>
      </c>
      <c r="M155" s="23" t="n">
        <f aca="false">COUNTIFS('Problem Tracker'!$C:$C,"Design",'Problem Tracker'!$D:$D,"System / Data-Structure Design",'Problem Tracker'!$E:$E,"Cache Design (LRU / LFU)",'Problem Tracker'!$M:$M,"Solved")+COUNTIFS('Problem Tracker'!$C:$C,"Design",'Problem Tracker'!$D:$D,"System / Data-Structure Design",'Problem Tracker'!$E:$E,"Cache Design (LRU / LFU)",'Problem Tracker'!$M:$M,"Mastered")</f>
        <v>0</v>
      </c>
      <c r="N155" s="28" t="n">
        <f aca="false">IF(I155=0,0,M155/I155)</f>
        <v>0</v>
      </c>
    </row>
    <row r="156" customFormat="false" ht="23.85" hidden="false" customHeight="false" outlineLevel="0" collapsed="false">
      <c r="A156" s="154" t="s">
        <v>52</v>
      </c>
      <c r="B156" s="47" t="s">
        <v>608</v>
      </c>
      <c r="C156" s="155" t="s">
        <v>612</v>
      </c>
      <c r="D156" s="59" t="s">
        <v>101</v>
      </c>
      <c r="E156" s="51" t="s">
        <v>613</v>
      </c>
      <c r="F156" s="51" t="s">
        <v>614</v>
      </c>
      <c r="G156" s="23" t="s">
        <v>615</v>
      </c>
      <c r="H156" s="23" t="s">
        <v>53</v>
      </c>
      <c r="I156" s="23" t="n">
        <f aca="false">COUNTIFS('Problem Tracker'!$C:$C,"Design",'Problem Tracker'!$D:$D,"System / Data-Structure Design",'Problem Tracker'!$E:$E,"Hash-based Containers")</f>
        <v>4</v>
      </c>
      <c r="J156" s="24" t="n">
        <f aca="false">COUNTIFS('Problem Tracker'!$C:$C,"Design",'Problem Tracker'!$D:$D,"System / Data-Structure Design",'Problem Tracker'!$E:$E,"Hash-based Containers",'Problem Tracker'!$H:$H,"Easy")</f>
        <v>2</v>
      </c>
      <c r="K156" s="25" t="n">
        <f aca="false">COUNTIFS('Problem Tracker'!$C:$C,"Design",'Problem Tracker'!$D:$D,"System / Data-Structure Design",'Problem Tracker'!$E:$E,"Hash-based Containers",'Problem Tracker'!$H:$H,"Medium")</f>
        <v>1</v>
      </c>
      <c r="L156" s="26" t="n">
        <f aca="false">COUNTIFS('Problem Tracker'!$C:$C,"Design",'Problem Tracker'!$D:$D,"System / Data-Structure Design",'Problem Tracker'!$E:$E,"Hash-based Containers",'Problem Tracker'!$H:$H,"Hard")</f>
        <v>1</v>
      </c>
      <c r="M156" s="23" t="n">
        <f aca="false">COUNTIFS('Problem Tracker'!$C:$C,"Design",'Problem Tracker'!$D:$D,"System / Data-Structure Design",'Problem Tracker'!$E:$E,"Hash-based Containers",'Problem Tracker'!$M:$M,"Solved")+COUNTIFS('Problem Tracker'!$C:$C,"Design",'Problem Tracker'!$D:$D,"System / Data-Structure Design",'Problem Tracker'!$E:$E,"Hash-based Containers",'Problem Tracker'!$M:$M,"Mastered")</f>
        <v>0</v>
      </c>
      <c r="N156" s="28" t="n">
        <f aca="false">IF(I156=0,0,M156/I156)</f>
        <v>0</v>
      </c>
    </row>
    <row r="157" customFormat="false" ht="23.85" hidden="false" customHeight="false" outlineLevel="0" collapsed="false">
      <c r="A157" s="154" t="s">
        <v>52</v>
      </c>
      <c r="B157" s="47" t="s">
        <v>608</v>
      </c>
      <c r="C157" s="155" t="s">
        <v>616</v>
      </c>
      <c r="D157" s="58" t="s">
        <v>92</v>
      </c>
      <c r="E157" s="51" t="s">
        <v>617</v>
      </c>
      <c r="F157" s="51" t="s">
        <v>618</v>
      </c>
      <c r="G157" s="23" t="s">
        <v>387</v>
      </c>
      <c r="H157" s="23" t="s">
        <v>53</v>
      </c>
      <c r="I157" s="23" t="n">
        <f aca="false">COUNTIFS('Problem Tracker'!$C:$C,"Design",'Problem Tracker'!$D:$D,"System / Data-Structure Design",'Problem Tracker'!$E:$E,"Application / Service Design")</f>
        <v>5</v>
      </c>
      <c r="J157" s="24" t="n">
        <f aca="false">COUNTIFS('Problem Tracker'!$C:$C,"Design",'Problem Tracker'!$D:$D,"System / Data-Structure Design",'Problem Tracker'!$E:$E,"Application / Service Design",'Problem Tracker'!$H:$H,"Easy")</f>
        <v>0</v>
      </c>
      <c r="K157" s="25" t="n">
        <f aca="false">COUNTIFS('Problem Tracker'!$C:$C,"Design",'Problem Tracker'!$D:$D,"System / Data-Structure Design",'Problem Tracker'!$E:$E,"Application / Service Design",'Problem Tracker'!$H:$H,"Medium")</f>
        <v>5</v>
      </c>
      <c r="L157" s="26" t="n">
        <f aca="false">COUNTIFS('Problem Tracker'!$C:$C,"Design",'Problem Tracker'!$D:$D,"System / Data-Structure Design",'Problem Tracker'!$E:$E,"Application / Service Design",'Problem Tracker'!$H:$H,"Hard")</f>
        <v>0</v>
      </c>
      <c r="M157" s="23" t="n">
        <f aca="false">COUNTIFS('Problem Tracker'!$C:$C,"Design",'Problem Tracker'!$D:$D,"System / Data-Structure Design",'Problem Tracker'!$E:$E,"Application / Service Design",'Problem Tracker'!$M:$M,"Solved")+COUNTIFS('Problem Tracker'!$C:$C,"Design",'Problem Tracker'!$D:$D,"System / Data-Structure Design",'Problem Tracker'!$E:$E,"Application / Service Design",'Problem Tracker'!$M:$M,"Mastered")</f>
        <v>0</v>
      </c>
      <c r="N157" s="28" t="n">
        <f aca="false">IF(I157=0,0,M157/I157)</f>
        <v>0</v>
      </c>
    </row>
    <row r="158" customFormat="false" ht="23.85" hidden="false" customHeight="false" outlineLevel="0" collapsed="false">
      <c r="A158" s="154" t="s">
        <v>52</v>
      </c>
      <c r="B158" s="47" t="s">
        <v>608</v>
      </c>
      <c r="C158" s="155" t="s">
        <v>619</v>
      </c>
      <c r="D158" s="59" t="s">
        <v>101</v>
      </c>
      <c r="E158" s="51" t="s">
        <v>620</v>
      </c>
      <c r="F158" s="51" t="s">
        <v>621</v>
      </c>
      <c r="G158" s="23" t="s">
        <v>622</v>
      </c>
      <c r="H158" s="23" t="s">
        <v>53</v>
      </c>
      <c r="I158" s="23" t="n">
        <f aca="false">COUNTIFS('Problem Tracker'!$C:$C,"Design",'Problem Tracker'!$D:$D,"System / Data-Structure Design",'Problem Tracker'!$E:$E,"Iterator Design")</f>
        <v>3</v>
      </c>
      <c r="J158" s="24" t="n">
        <f aca="false">COUNTIFS('Problem Tracker'!$C:$C,"Design",'Problem Tracker'!$D:$D,"System / Data-Structure Design",'Problem Tracker'!$E:$E,"Iterator Design",'Problem Tracker'!$H:$H,"Easy")</f>
        <v>0</v>
      </c>
      <c r="K158" s="25" t="n">
        <f aca="false">COUNTIFS('Problem Tracker'!$C:$C,"Design",'Problem Tracker'!$D:$D,"System / Data-Structure Design",'Problem Tracker'!$E:$E,"Iterator Design",'Problem Tracker'!$H:$H,"Medium")</f>
        <v>2</v>
      </c>
      <c r="L158" s="26" t="n">
        <f aca="false">COUNTIFS('Problem Tracker'!$C:$C,"Design",'Problem Tracker'!$D:$D,"System / Data-Structure Design",'Problem Tracker'!$E:$E,"Iterator Design",'Problem Tracker'!$H:$H,"Hard")</f>
        <v>1</v>
      </c>
      <c r="M158" s="23" t="n">
        <f aca="false">COUNTIFS('Problem Tracker'!$C:$C,"Design",'Problem Tracker'!$D:$D,"System / Data-Structure Design",'Problem Tracker'!$E:$E,"Iterator Design",'Problem Tracker'!$M:$M,"Solved")+COUNTIFS('Problem Tracker'!$C:$C,"Design",'Problem Tracker'!$D:$D,"System / Data-Structure Design",'Problem Tracker'!$E:$E,"Iterator Design",'Problem Tracker'!$M:$M,"Mastered")</f>
        <v>0</v>
      </c>
      <c r="N158" s="28" t="n">
        <f aca="false">IF(I158=0,0,M158/I158)</f>
        <v>0</v>
      </c>
    </row>
    <row r="159" customFormat="false" ht="39.55" hidden="false" customHeight="false" outlineLevel="0" collapsed="false">
      <c r="A159" s="156" t="s">
        <v>623</v>
      </c>
      <c r="B159" s="157"/>
      <c r="C159" s="157"/>
      <c r="D159" s="157"/>
      <c r="E159" s="157"/>
      <c r="F159" s="157"/>
      <c r="G159" s="157"/>
      <c r="H159" s="157"/>
      <c r="I159" s="157" t="n">
        <f aca="false">COUNTIF('Problem Tracker'!$C:$C,"Advanced Data Structures")</f>
        <v>7</v>
      </c>
      <c r="J159" s="157"/>
      <c r="K159" s="157"/>
      <c r="L159" s="157"/>
      <c r="M159" s="157" t="n">
        <f aca="false">COUNTIFS('Problem Tracker'!$C:$C,"Advanced Data Structures",'Problem Tracker'!$M:$M,"Solved")+COUNTIFS('Problem Tracker'!$C:$C,"Advanced Data Structures",'Problem Tracker'!$M:$M,"Mastered")</f>
        <v>0</v>
      </c>
      <c r="N159" s="158" t="n">
        <f aca="false">IF(I159=0,0,M159/I159)</f>
        <v>0</v>
      </c>
    </row>
    <row r="160" customFormat="false" ht="23.85" hidden="false" customHeight="false" outlineLevel="0" collapsed="false">
      <c r="A160" s="159" t="s">
        <v>54</v>
      </c>
      <c r="B160" s="48" t="s">
        <v>624</v>
      </c>
      <c r="C160" s="160" t="s">
        <v>625</v>
      </c>
      <c r="D160" s="70" t="s">
        <v>9</v>
      </c>
      <c r="E160" s="51" t="s">
        <v>626</v>
      </c>
      <c r="F160" s="51" t="s">
        <v>627</v>
      </c>
      <c r="G160" s="23" t="s">
        <v>378</v>
      </c>
      <c r="H160" s="23" t="s">
        <v>53</v>
      </c>
      <c r="I160" s="23" t="n">
        <f aca="false">COUNTIFS('Problem Tracker'!$C:$C,"Advanced Data Structures",'Problem Tracker'!$D:$D,"Range Query Structures",'Problem Tracker'!$E:$E,"Segment Tree")</f>
        <v>3</v>
      </c>
      <c r="J160" s="24" t="n">
        <f aca="false">COUNTIFS('Problem Tracker'!$C:$C,"Advanced Data Structures",'Problem Tracker'!$D:$D,"Range Query Structures",'Problem Tracker'!$E:$E,"Segment Tree",'Problem Tracker'!$H:$H,"Easy")</f>
        <v>0</v>
      </c>
      <c r="K160" s="25" t="n">
        <f aca="false">COUNTIFS('Problem Tracker'!$C:$C,"Advanced Data Structures",'Problem Tracker'!$D:$D,"Range Query Structures",'Problem Tracker'!$E:$E,"Segment Tree",'Problem Tracker'!$H:$H,"Medium")</f>
        <v>1</v>
      </c>
      <c r="L160" s="26" t="n">
        <f aca="false">COUNTIFS('Problem Tracker'!$C:$C,"Advanced Data Structures",'Problem Tracker'!$D:$D,"Range Query Structures",'Problem Tracker'!$E:$E,"Segment Tree",'Problem Tracker'!$H:$H,"Hard")</f>
        <v>2</v>
      </c>
      <c r="M160" s="23" t="n">
        <f aca="false">COUNTIFS('Problem Tracker'!$C:$C,"Advanced Data Structures",'Problem Tracker'!$D:$D,"Range Query Structures",'Problem Tracker'!$E:$E,"Segment Tree",'Problem Tracker'!$M:$M,"Solved")+COUNTIFS('Problem Tracker'!$C:$C,"Advanced Data Structures",'Problem Tracker'!$D:$D,"Range Query Structures",'Problem Tracker'!$E:$E,"Segment Tree",'Problem Tracker'!$M:$M,"Mastered")</f>
        <v>0</v>
      </c>
      <c r="N160" s="28" t="n">
        <f aca="false">IF(I160=0,0,M160/I160)</f>
        <v>0</v>
      </c>
    </row>
    <row r="161" customFormat="false" ht="23.85" hidden="false" customHeight="false" outlineLevel="0" collapsed="false">
      <c r="A161" s="159" t="s">
        <v>54</v>
      </c>
      <c r="B161" s="48" t="s">
        <v>624</v>
      </c>
      <c r="C161" s="160" t="s">
        <v>628</v>
      </c>
      <c r="D161" s="70" t="s">
        <v>9</v>
      </c>
      <c r="E161" s="51" t="s">
        <v>629</v>
      </c>
      <c r="F161" s="51" t="s">
        <v>630</v>
      </c>
      <c r="G161" s="23" t="s">
        <v>378</v>
      </c>
      <c r="H161" s="23" t="s">
        <v>53</v>
      </c>
      <c r="I161" s="23" t="n">
        <f aca="false">COUNTIFS('Problem Tracker'!$C:$C,"Advanced Data Structures",'Problem Tracker'!$D:$D,"Range Query Structures",'Problem Tracker'!$E:$E,"Fenwick Tree (Binary Indexed Tree)")</f>
        <v>2</v>
      </c>
      <c r="J161" s="24" t="n">
        <f aca="false">COUNTIFS('Problem Tracker'!$C:$C,"Advanced Data Structures",'Problem Tracker'!$D:$D,"Range Query Structures",'Problem Tracker'!$E:$E,"Fenwick Tree (Binary Indexed Tree)",'Problem Tracker'!$H:$H,"Easy")</f>
        <v>0</v>
      </c>
      <c r="K161" s="25" t="n">
        <f aca="false">COUNTIFS('Problem Tracker'!$C:$C,"Advanced Data Structures",'Problem Tracker'!$D:$D,"Range Query Structures",'Problem Tracker'!$E:$E,"Fenwick Tree (Binary Indexed Tree)",'Problem Tracker'!$H:$H,"Medium")</f>
        <v>0</v>
      </c>
      <c r="L161" s="26" t="n">
        <f aca="false">COUNTIFS('Problem Tracker'!$C:$C,"Advanced Data Structures",'Problem Tracker'!$D:$D,"Range Query Structures",'Problem Tracker'!$E:$E,"Fenwick Tree (Binary Indexed Tree)",'Problem Tracker'!$H:$H,"Hard")</f>
        <v>2</v>
      </c>
      <c r="M161" s="23" t="n">
        <f aca="false">COUNTIFS('Problem Tracker'!$C:$C,"Advanced Data Structures",'Problem Tracker'!$D:$D,"Range Query Structures",'Problem Tracker'!$E:$E,"Fenwick Tree (Binary Indexed Tree)",'Problem Tracker'!$M:$M,"Solved")+COUNTIFS('Problem Tracker'!$C:$C,"Advanced Data Structures",'Problem Tracker'!$D:$D,"Range Query Structures",'Problem Tracker'!$E:$E,"Fenwick Tree (Binary Indexed Tree)",'Problem Tracker'!$M:$M,"Mastered")</f>
        <v>0</v>
      </c>
      <c r="N161" s="28" t="n">
        <f aca="false">IF(I161=0,0,M161/I161)</f>
        <v>0</v>
      </c>
    </row>
    <row r="162" customFormat="false" ht="23.85" hidden="false" customHeight="false" outlineLevel="0" collapsed="false">
      <c r="A162" s="159" t="s">
        <v>54</v>
      </c>
      <c r="B162" s="48" t="s">
        <v>624</v>
      </c>
      <c r="C162" s="160" t="s">
        <v>631</v>
      </c>
      <c r="D162" s="70" t="s">
        <v>9</v>
      </c>
      <c r="E162" s="51" t="s">
        <v>632</v>
      </c>
      <c r="F162" s="51" t="s">
        <v>633</v>
      </c>
      <c r="G162" s="23" t="s">
        <v>378</v>
      </c>
      <c r="H162" s="23" t="s">
        <v>53</v>
      </c>
      <c r="I162" s="23" t="n">
        <f aca="false">COUNTIFS('Problem Tracker'!$C:$C,"Advanced Data Structures",'Problem Tracker'!$D:$D,"Range Query Structures",'Problem Tracker'!$E:$E,"Ordered Map / TreeMap")</f>
        <v>2</v>
      </c>
      <c r="J162" s="24" t="n">
        <f aca="false">COUNTIFS('Problem Tracker'!$C:$C,"Advanced Data Structures",'Problem Tracker'!$D:$D,"Range Query Structures",'Problem Tracker'!$E:$E,"Ordered Map / TreeMap",'Problem Tracker'!$H:$H,"Easy")</f>
        <v>0</v>
      </c>
      <c r="K162" s="25" t="n">
        <f aca="false">COUNTIFS('Problem Tracker'!$C:$C,"Advanced Data Structures",'Problem Tracker'!$D:$D,"Range Query Structures",'Problem Tracker'!$E:$E,"Ordered Map / TreeMap",'Problem Tracker'!$H:$H,"Medium")</f>
        <v>1</v>
      </c>
      <c r="L162" s="26" t="n">
        <f aca="false">COUNTIFS('Problem Tracker'!$C:$C,"Advanced Data Structures",'Problem Tracker'!$D:$D,"Range Query Structures",'Problem Tracker'!$E:$E,"Ordered Map / TreeMap",'Problem Tracker'!$H:$H,"Hard")</f>
        <v>1</v>
      </c>
      <c r="M162" s="23" t="n">
        <f aca="false">COUNTIFS('Problem Tracker'!$C:$C,"Advanced Data Structures",'Problem Tracker'!$D:$D,"Range Query Structures",'Problem Tracker'!$E:$E,"Ordered Map / TreeMap",'Problem Tracker'!$M:$M,"Solved")+COUNTIFS('Problem Tracker'!$C:$C,"Advanced Data Structures",'Problem Tracker'!$D:$D,"Range Query Structures",'Problem Tracker'!$E:$E,"Ordered Map / TreeMap",'Problem Tracker'!$M:$M,"Mastered")</f>
        <v>0</v>
      </c>
      <c r="N162" s="28" t="n">
        <f aca="false">IF(I162=0,0,M162/I162)</f>
        <v>0</v>
      </c>
    </row>
  </sheetData>
  <autoFilter ref="A1:N162"/>
  <conditionalFormatting sqref="N2:N162">
    <cfRule type="dataBar" priority="2">
      <dataBar showValue="1" minLength="10" maxLength="90"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{E020D5BA-2D96-4430-AD8A-64E7192DAF16}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20D5BA-2D96-4430-AD8A-64E7192DAF1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2C55E"/>
              <x14:axisColor rgb="FF000000"/>
            </x14:dataBar>
          </x14:cfRule>
          <xm:sqref>N2:N162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44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1" min="10" style="0" width="9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34"/>
  </cols>
  <sheetData>
    <row r="1" customFormat="false" ht="30" hidden="false" customHeight="true" outlineLevel="0" collapsed="false">
      <c r="A1" s="52" t="s">
        <v>634</v>
      </c>
      <c r="B1" s="52" t="s">
        <v>19</v>
      </c>
      <c r="C1" s="52" t="s">
        <v>18</v>
      </c>
      <c r="D1" s="52" t="s">
        <v>83</v>
      </c>
      <c r="E1" s="52" t="s">
        <v>84</v>
      </c>
      <c r="F1" s="52" t="s">
        <v>635</v>
      </c>
      <c r="G1" s="52" t="s">
        <v>636</v>
      </c>
      <c r="H1" s="52" t="s">
        <v>637</v>
      </c>
      <c r="I1" s="52" t="s">
        <v>638</v>
      </c>
      <c r="J1" s="52" t="s">
        <v>639</v>
      </c>
      <c r="K1" s="52" t="s">
        <v>640</v>
      </c>
      <c r="L1" s="52" t="s">
        <v>641</v>
      </c>
      <c r="M1" s="52" t="s">
        <v>642</v>
      </c>
      <c r="N1" s="52" t="s">
        <v>643</v>
      </c>
      <c r="O1" s="52" t="s">
        <v>644</v>
      </c>
      <c r="P1" s="52" t="s">
        <v>645</v>
      </c>
      <c r="Q1" s="52" t="s">
        <v>646</v>
      </c>
      <c r="R1" s="52" t="s">
        <v>647</v>
      </c>
    </row>
    <row r="2" customFormat="false" ht="23.85" hidden="false" customHeight="false" outlineLevel="0" collapsed="false">
      <c r="A2" s="23" t="n">
        <v>1</v>
      </c>
      <c r="B2" s="23" t="s">
        <v>21</v>
      </c>
      <c r="C2" s="22" t="s">
        <v>20</v>
      </c>
      <c r="D2" s="56" t="s">
        <v>90</v>
      </c>
      <c r="E2" s="56" t="s">
        <v>91</v>
      </c>
      <c r="F2" s="23" t="n">
        <v>1</v>
      </c>
      <c r="G2" s="161" t="s">
        <v>648</v>
      </c>
      <c r="H2" s="162" t="s">
        <v>7</v>
      </c>
      <c r="I2" s="163" t="s">
        <v>13</v>
      </c>
      <c r="J2" s="164" t="s">
        <v>649</v>
      </c>
      <c r="K2" s="23"/>
      <c r="L2" s="165" t="s">
        <v>650</v>
      </c>
      <c r="M2" s="166" t="s">
        <v>4</v>
      </c>
      <c r="N2" s="167" t="n">
        <f aca="false">DATE(2026,10,7)</f>
        <v>46302</v>
      </c>
      <c r="O2" s="166" t="n">
        <v>1</v>
      </c>
      <c r="P2" s="168" t="n">
        <f aca="false">IF(N2="","",N2+CHOOSE(MIN(O2,3)+1,3,7,21,45))</f>
        <v>46309</v>
      </c>
      <c r="Q2" s="166" t="n">
        <v>4</v>
      </c>
      <c r="R2" s="169" t="s">
        <v>651</v>
      </c>
    </row>
    <row r="3" customFormat="false" ht="15" hidden="false" customHeight="false" outlineLevel="0" collapsed="false">
      <c r="A3" s="23" t="n">
        <v>2</v>
      </c>
      <c r="B3" s="23" t="s">
        <v>21</v>
      </c>
      <c r="C3" s="22" t="s">
        <v>20</v>
      </c>
      <c r="D3" s="56" t="s">
        <v>90</v>
      </c>
      <c r="E3" s="56" t="s">
        <v>91</v>
      </c>
      <c r="F3" s="23" t="n">
        <v>1679</v>
      </c>
      <c r="G3" s="161" t="s">
        <v>652</v>
      </c>
      <c r="H3" s="170" t="s">
        <v>9</v>
      </c>
      <c r="I3" s="171" t="s">
        <v>653</v>
      </c>
      <c r="J3" s="172" t="s">
        <v>654</v>
      </c>
      <c r="K3" s="23"/>
      <c r="L3" s="165" t="s">
        <v>655</v>
      </c>
      <c r="M3" s="166" t="s">
        <v>656</v>
      </c>
      <c r="N3" s="167"/>
      <c r="O3" s="166" t="n">
        <v>0</v>
      </c>
      <c r="P3" s="168" t="str">
        <f aca="false">IF(N3="","",N3+CHOOSE(MIN(O3,3)+1,3,7,21,45))</f>
        <v/>
      </c>
      <c r="Q3" s="166"/>
      <c r="R3" s="169"/>
    </row>
    <row r="4" customFormat="false" ht="15" hidden="false" customHeight="false" outlineLevel="0" collapsed="false">
      <c r="A4" s="23" t="n">
        <v>3</v>
      </c>
      <c r="B4" s="23" t="s">
        <v>21</v>
      </c>
      <c r="C4" s="22" t="s">
        <v>20</v>
      </c>
      <c r="D4" s="56" t="s">
        <v>90</v>
      </c>
      <c r="E4" s="56" t="s">
        <v>91</v>
      </c>
      <c r="F4" s="23" t="n">
        <v>454</v>
      </c>
      <c r="G4" s="161" t="s">
        <v>657</v>
      </c>
      <c r="H4" s="170" t="s">
        <v>9</v>
      </c>
      <c r="I4" s="171" t="s">
        <v>653</v>
      </c>
      <c r="J4" s="172" t="s">
        <v>654</v>
      </c>
      <c r="K4" s="23"/>
      <c r="L4" s="165" t="s">
        <v>658</v>
      </c>
      <c r="M4" s="166" t="s">
        <v>656</v>
      </c>
      <c r="N4" s="167"/>
      <c r="O4" s="166" t="n">
        <v>0</v>
      </c>
      <c r="P4" s="168" t="str">
        <f aca="false">IF(N4="","",N4+CHOOSE(MIN(O4,3)+1,3,7,21,45))</f>
        <v/>
      </c>
      <c r="Q4" s="166"/>
      <c r="R4" s="169"/>
    </row>
    <row r="5" customFormat="false" ht="15" hidden="false" customHeight="false" outlineLevel="0" collapsed="false">
      <c r="A5" s="23" t="n">
        <v>4</v>
      </c>
      <c r="B5" s="23" t="s">
        <v>21</v>
      </c>
      <c r="C5" s="22" t="s">
        <v>20</v>
      </c>
      <c r="D5" s="56" t="s">
        <v>90</v>
      </c>
      <c r="E5" s="56" t="s">
        <v>96</v>
      </c>
      <c r="F5" s="23" t="n">
        <v>217</v>
      </c>
      <c r="G5" s="161" t="s">
        <v>659</v>
      </c>
      <c r="H5" s="162" t="s">
        <v>7</v>
      </c>
      <c r="I5" s="163" t="s">
        <v>13</v>
      </c>
      <c r="J5" s="164" t="s">
        <v>649</v>
      </c>
      <c r="K5" s="23"/>
      <c r="L5" s="165" t="s">
        <v>660</v>
      </c>
      <c r="M5" s="166" t="s">
        <v>656</v>
      </c>
      <c r="N5" s="167"/>
      <c r="O5" s="166" t="n">
        <v>0</v>
      </c>
      <c r="P5" s="168" t="str">
        <f aca="false">IF(N5="","",N5+CHOOSE(MIN(O5,3)+1,3,7,21,45))</f>
        <v/>
      </c>
      <c r="Q5" s="166"/>
      <c r="R5" s="169"/>
    </row>
    <row r="6" customFormat="false" ht="15" hidden="false" customHeight="false" outlineLevel="0" collapsed="false">
      <c r="A6" s="23" t="n">
        <v>5</v>
      </c>
      <c r="B6" s="23" t="s">
        <v>21</v>
      </c>
      <c r="C6" s="22" t="s">
        <v>20</v>
      </c>
      <c r="D6" s="56" t="s">
        <v>90</v>
      </c>
      <c r="E6" s="56" t="s">
        <v>96</v>
      </c>
      <c r="F6" s="23" t="n">
        <v>219</v>
      </c>
      <c r="G6" s="161" t="s">
        <v>661</v>
      </c>
      <c r="H6" s="162" t="s">
        <v>7</v>
      </c>
      <c r="I6" s="171" t="s">
        <v>653</v>
      </c>
      <c r="J6" s="172" t="s">
        <v>654</v>
      </c>
      <c r="K6" s="23"/>
      <c r="L6" s="165" t="s">
        <v>662</v>
      </c>
      <c r="M6" s="166" t="s">
        <v>656</v>
      </c>
      <c r="N6" s="167"/>
      <c r="O6" s="166" t="n">
        <v>0</v>
      </c>
      <c r="P6" s="168" t="str">
        <f aca="false">IF(N6="","",N6+CHOOSE(MIN(O6,3)+1,3,7,21,45))</f>
        <v/>
      </c>
      <c r="Q6" s="166"/>
      <c r="R6" s="169"/>
    </row>
    <row r="7" customFormat="false" ht="15" hidden="false" customHeight="false" outlineLevel="0" collapsed="false">
      <c r="A7" s="23" t="n">
        <v>6</v>
      </c>
      <c r="B7" s="23" t="s">
        <v>21</v>
      </c>
      <c r="C7" s="22" t="s">
        <v>20</v>
      </c>
      <c r="D7" s="56" t="s">
        <v>90</v>
      </c>
      <c r="E7" s="56" t="s">
        <v>96</v>
      </c>
      <c r="F7" s="23" t="n">
        <v>1207</v>
      </c>
      <c r="G7" s="161" t="s">
        <v>663</v>
      </c>
      <c r="H7" s="162" t="s">
        <v>7</v>
      </c>
      <c r="I7" s="171" t="s">
        <v>653</v>
      </c>
      <c r="J7" s="172" t="s">
        <v>654</v>
      </c>
      <c r="K7" s="23"/>
      <c r="L7" s="165" t="s">
        <v>664</v>
      </c>
      <c r="M7" s="166" t="s">
        <v>656</v>
      </c>
      <c r="N7" s="167"/>
      <c r="O7" s="166" t="n">
        <v>0</v>
      </c>
      <c r="P7" s="168" t="str">
        <f aca="false">IF(N7="","",N7+CHOOSE(MIN(O7,3)+1,3,7,21,45))</f>
        <v/>
      </c>
      <c r="Q7" s="166"/>
      <c r="R7" s="169"/>
    </row>
    <row r="8" customFormat="false" ht="15" hidden="false" customHeight="false" outlineLevel="0" collapsed="false">
      <c r="A8" s="23" t="n">
        <v>7</v>
      </c>
      <c r="B8" s="23" t="s">
        <v>21</v>
      </c>
      <c r="C8" s="22" t="s">
        <v>20</v>
      </c>
      <c r="D8" s="56" t="s">
        <v>90</v>
      </c>
      <c r="E8" s="56" t="s">
        <v>96</v>
      </c>
      <c r="F8" s="23" t="n">
        <v>2352</v>
      </c>
      <c r="G8" s="161" t="s">
        <v>665</v>
      </c>
      <c r="H8" s="170" t="s">
        <v>9</v>
      </c>
      <c r="I8" s="171" t="s">
        <v>653</v>
      </c>
      <c r="J8" s="172" t="s">
        <v>654</v>
      </c>
      <c r="K8" s="23"/>
      <c r="L8" s="165" t="s">
        <v>666</v>
      </c>
      <c r="M8" s="166" t="s">
        <v>656</v>
      </c>
      <c r="N8" s="167"/>
      <c r="O8" s="166" t="n">
        <v>0</v>
      </c>
      <c r="P8" s="168" t="str">
        <f aca="false">IF(N8="","",N8+CHOOSE(MIN(O8,3)+1,3,7,21,45))</f>
        <v/>
      </c>
      <c r="Q8" s="166"/>
      <c r="R8" s="169"/>
    </row>
    <row r="9" customFormat="false" ht="15" hidden="false" customHeight="false" outlineLevel="0" collapsed="false">
      <c r="A9" s="23" t="n">
        <v>8</v>
      </c>
      <c r="B9" s="23" t="s">
        <v>21</v>
      </c>
      <c r="C9" s="22" t="s">
        <v>20</v>
      </c>
      <c r="D9" s="56" t="s">
        <v>90</v>
      </c>
      <c r="E9" s="56" t="s">
        <v>100</v>
      </c>
      <c r="F9" s="23" t="n">
        <v>36</v>
      </c>
      <c r="G9" s="161" t="s">
        <v>667</v>
      </c>
      <c r="H9" s="170" t="s">
        <v>9</v>
      </c>
      <c r="I9" s="173" t="s">
        <v>668</v>
      </c>
      <c r="J9" s="174" t="s">
        <v>669</v>
      </c>
      <c r="K9" s="23"/>
      <c r="L9" s="165" t="s">
        <v>670</v>
      </c>
      <c r="M9" s="166" t="s">
        <v>656</v>
      </c>
      <c r="N9" s="167"/>
      <c r="O9" s="166" t="n">
        <v>0</v>
      </c>
      <c r="P9" s="168" t="str">
        <f aca="false">IF(N9="","",N9+CHOOSE(MIN(O9,3)+1,3,7,21,45))</f>
        <v/>
      </c>
      <c r="Q9" s="166"/>
      <c r="R9" s="169"/>
    </row>
    <row r="10" customFormat="false" ht="15" hidden="false" customHeight="false" outlineLevel="0" collapsed="false">
      <c r="A10" s="23" t="n">
        <v>9</v>
      </c>
      <c r="B10" s="23" t="s">
        <v>21</v>
      </c>
      <c r="C10" s="22" t="s">
        <v>20</v>
      </c>
      <c r="D10" s="56" t="s">
        <v>90</v>
      </c>
      <c r="E10" s="56" t="s">
        <v>100</v>
      </c>
      <c r="F10" s="23" t="n">
        <v>249</v>
      </c>
      <c r="G10" s="161" t="s">
        <v>671</v>
      </c>
      <c r="H10" s="170" t="s">
        <v>9</v>
      </c>
      <c r="I10" s="171" t="s">
        <v>653</v>
      </c>
      <c r="J10" s="172" t="s">
        <v>654</v>
      </c>
      <c r="K10" s="23" t="s">
        <v>672</v>
      </c>
      <c r="L10" s="165" t="s">
        <v>673</v>
      </c>
      <c r="M10" s="166" t="s">
        <v>656</v>
      </c>
      <c r="N10" s="167"/>
      <c r="O10" s="166" t="n">
        <v>0</v>
      </c>
      <c r="P10" s="168" t="str">
        <f aca="false">IF(N10="","",N10+CHOOSE(MIN(O10,3)+1,3,7,21,45))</f>
        <v/>
      </c>
      <c r="Q10" s="166"/>
      <c r="R10" s="169"/>
    </row>
    <row r="11" customFormat="false" ht="15" hidden="false" customHeight="false" outlineLevel="0" collapsed="false">
      <c r="A11" s="23" t="n">
        <v>10</v>
      </c>
      <c r="B11" s="23" t="s">
        <v>21</v>
      </c>
      <c r="C11" s="22" t="s">
        <v>20</v>
      </c>
      <c r="D11" s="56" t="s">
        <v>90</v>
      </c>
      <c r="E11" s="56" t="s">
        <v>100</v>
      </c>
      <c r="F11" s="23" t="n">
        <v>609</v>
      </c>
      <c r="G11" s="161" t="s">
        <v>674</v>
      </c>
      <c r="H11" s="170" t="s">
        <v>9</v>
      </c>
      <c r="I11" s="171" t="s">
        <v>653</v>
      </c>
      <c r="J11" s="172" t="s">
        <v>654</v>
      </c>
      <c r="K11" s="23"/>
      <c r="L11" s="165" t="s">
        <v>675</v>
      </c>
      <c r="M11" s="166" t="s">
        <v>656</v>
      </c>
      <c r="N11" s="167"/>
      <c r="O11" s="166" t="n">
        <v>0</v>
      </c>
      <c r="P11" s="168" t="str">
        <f aca="false">IF(N11="","",N11+CHOOSE(MIN(O11,3)+1,3,7,21,45))</f>
        <v/>
      </c>
      <c r="Q11" s="166"/>
      <c r="R11" s="169"/>
    </row>
    <row r="12" customFormat="false" ht="15" hidden="false" customHeight="false" outlineLevel="0" collapsed="false">
      <c r="A12" s="23" t="n">
        <v>11</v>
      </c>
      <c r="B12" s="23" t="s">
        <v>21</v>
      </c>
      <c r="C12" s="22" t="s">
        <v>20</v>
      </c>
      <c r="D12" s="56" t="s">
        <v>90</v>
      </c>
      <c r="E12" s="56" t="s">
        <v>105</v>
      </c>
      <c r="F12" s="23" t="n">
        <v>349</v>
      </c>
      <c r="G12" s="161" t="s">
        <v>676</v>
      </c>
      <c r="H12" s="162" t="s">
        <v>7</v>
      </c>
      <c r="I12" s="171" t="s">
        <v>653</v>
      </c>
      <c r="J12" s="172" t="s">
        <v>654</v>
      </c>
      <c r="K12" s="23"/>
      <c r="L12" s="165" t="s">
        <v>677</v>
      </c>
      <c r="M12" s="166" t="s">
        <v>656</v>
      </c>
      <c r="N12" s="167"/>
      <c r="O12" s="166" t="n">
        <v>0</v>
      </c>
      <c r="P12" s="168" t="str">
        <f aca="false">IF(N12="","",N12+CHOOSE(MIN(O12,3)+1,3,7,21,45))</f>
        <v/>
      </c>
      <c r="Q12" s="166"/>
      <c r="R12" s="169"/>
    </row>
    <row r="13" customFormat="false" ht="15" hidden="false" customHeight="false" outlineLevel="0" collapsed="false">
      <c r="A13" s="23" t="n">
        <v>12</v>
      </c>
      <c r="B13" s="23" t="s">
        <v>21</v>
      </c>
      <c r="C13" s="22" t="s">
        <v>20</v>
      </c>
      <c r="D13" s="56" t="s">
        <v>90</v>
      </c>
      <c r="E13" s="56" t="s">
        <v>105</v>
      </c>
      <c r="F13" s="23" t="n">
        <v>202</v>
      </c>
      <c r="G13" s="161" t="s">
        <v>678</v>
      </c>
      <c r="H13" s="162" t="s">
        <v>7</v>
      </c>
      <c r="I13" s="173" t="s">
        <v>668</v>
      </c>
      <c r="J13" s="174" t="s">
        <v>669</v>
      </c>
      <c r="K13" s="23"/>
      <c r="L13" s="165" t="s">
        <v>679</v>
      </c>
      <c r="M13" s="166" t="s">
        <v>656</v>
      </c>
      <c r="N13" s="167"/>
      <c r="O13" s="166" t="n">
        <v>0</v>
      </c>
      <c r="P13" s="168" t="str">
        <f aca="false">IF(N13="","",N13+CHOOSE(MIN(O13,3)+1,3,7,21,45))</f>
        <v/>
      </c>
      <c r="Q13" s="166"/>
      <c r="R13" s="169"/>
    </row>
    <row r="14" customFormat="false" ht="15" hidden="false" customHeight="false" outlineLevel="0" collapsed="false">
      <c r="A14" s="23" t="n">
        <v>13</v>
      </c>
      <c r="B14" s="23" t="s">
        <v>21</v>
      </c>
      <c r="C14" s="22" t="s">
        <v>20</v>
      </c>
      <c r="D14" s="56" t="s">
        <v>90</v>
      </c>
      <c r="E14" s="56" t="s">
        <v>105</v>
      </c>
      <c r="F14" s="23" t="n">
        <v>128</v>
      </c>
      <c r="G14" s="161" t="s">
        <v>680</v>
      </c>
      <c r="H14" s="170" t="s">
        <v>9</v>
      </c>
      <c r="I14" s="163" t="s">
        <v>13</v>
      </c>
      <c r="J14" s="164" t="s">
        <v>649</v>
      </c>
      <c r="K14" s="23"/>
      <c r="L14" s="165" t="s">
        <v>681</v>
      </c>
      <c r="M14" s="166" t="s">
        <v>656</v>
      </c>
      <c r="N14" s="167"/>
      <c r="O14" s="166" t="n">
        <v>0</v>
      </c>
      <c r="P14" s="168" t="str">
        <f aca="false">IF(N14="","",N14+CHOOSE(MIN(O14,3)+1,3,7,21,45))</f>
        <v/>
      </c>
      <c r="Q14" s="166"/>
      <c r="R14" s="169"/>
    </row>
    <row r="15" customFormat="false" ht="15" hidden="false" customHeight="false" outlineLevel="0" collapsed="false">
      <c r="A15" s="23" t="n">
        <v>14</v>
      </c>
      <c r="B15" s="23" t="s">
        <v>60</v>
      </c>
      <c r="C15" s="29" t="s">
        <v>22</v>
      </c>
      <c r="D15" s="63" t="s">
        <v>109</v>
      </c>
      <c r="E15" s="63" t="s">
        <v>110</v>
      </c>
      <c r="F15" s="23" t="n">
        <v>125</v>
      </c>
      <c r="G15" s="161" t="s">
        <v>682</v>
      </c>
      <c r="H15" s="162" t="s">
        <v>7</v>
      </c>
      <c r="I15" s="163" t="s">
        <v>13</v>
      </c>
      <c r="J15" s="164" t="s">
        <v>649</v>
      </c>
      <c r="K15" s="23"/>
      <c r="L15" s="165" t="s">
        <v>683</v>
      </c>
      <c r="M15" s="166" t="s">
        <v>656</v>
      </c>
      <c r="N15" s="167"/>
      <c r="O15" s="166" t="n">
        <v>0</v>
      </c>
      <c r="P15" s="168" t="str">
        <f aca="false">IF(N15="","",N15+CHOOSE(MIN(O15,3)+1,3,7,21,45))</f>
        <v/>
      </c>
      <c r="Q15" s="166"/>
      <c r="R15" s="169"/>
    </row>
    <row r="16" customFormat="false" ht="15" hidden="false" customHeight="false" outlineLevel="0" collapsed="false">
      <c r="A16" s="23" t="n">
        <v>15</v>
      </c>
      <c r="B16" s="23" t="s">
        <v>60</v>
      </c>
      <c r="C16" s="29" t="s">
        <v>22</v>
      </c>
      <c r="D16" s="63" t="s">
        <v>109</v>
      </c>
      <c r="E16" s="63" t="s">
        <v>110</v>
      </c>
      <c r="F16" s="23" t="n">
        <v>977</v>
      </c>
      <c r="G16" s="161" t="s">
        <v>684</v>
      </c>
      <c r="H16" s="162" t="s">
        <v>7</v>
      </c>
      <c r="I16" s="171" t="s">
        <v>653</v>
      </c>
      <c r="J16" s="172" t="s">
        <v>654</v>
      </c>
      <c r="K16" s="23"/>
      <c r="L16" s="165" t="s">
        <v>685</v>
      </c>
      <c r="M16" s="166" t="s">
        <v>656</v>
      </c>
      <c r="N16" s="167"/>
      <c r="O16" s="166" t="n">
        <v>0</v>
      </c>
      <c r="P16" s="168" t="str">
        <f aca="false">IF(N16="","",N16+CHOOSE(MIN(O16,3)+1,3,7,21,45))</f>
        <v/>
      </c>
      <c r="Q16" s="166"/>
      <c r="R16" s="169"/>
    </row>
    <row r="17" customFormat="false" ht="15" hidden="false" customHeight="false" outlineLevel="0" collapsed="false">
      <c r="A17" s="23" t="n">
        <v>16</v>
      </c>
      <c r="B17" s="23" t="s">
        <v>60</v>
      </c>
      <c r="C17" s="29" t="s">
        <v>22</v>
      </c>
      <c r="D17" s="63" t="s">
        <v>109</v>
      </c>
      <c r="E17" s="63" t="s">
        <v>110</v>
      </c>
      <c r="F17" s="23" t="n">
        <v>167</v>
      </c>
      <c r="G17" s="161" t="s">
        <v>686</v>
      </c>
      <c r="H17" s="170" t="s">
        <v>9</v>
      </c>
      <c r="I17" s="173" t="s">
        <v>668</v>
      </c>
      <c r="J17" s="174" t="s">
        <v>669</v>
      </c>
      <c r="K17" s="23"/>
      <c r="L17" s="165" t="s">
        <v>687</v>
      </c>
      <c r="M17" s="166" t="s">
        <v>656</v>
      </c>
      <c r="N17" s="167"/>
      <c r="O17" s="166" t="n">
        <v>0</v>
      </c>
      <c r="P17" s="168" t="str">
        <f aca="false">IF(N17="","",N17+CHOOSE(MIN(O17,3)+1,3,7,21,45))</f>
        <v/>
      </c>
      <c r="Q17" s="166"/>
      <c r="R17" s="169"/>
    </row>
    <row r="18" customFormat="false" ht="15" hidden="false" customHeight="false" outlineLevel="0" collapsed="false">
      <c r="A18" s="23" t="n">
        <v>17</v>
      </c>
      <c r="B18" s="23" t="s">
        <v>60</v>
      </c>
      <c r="C18" s="29" t="s">
        <v>22</v>
      </c>
      <c r="D18" s="63" t="s">
        <v>109</v>
      </c>
      <c r="E18" s="63" t="s">
        <v>110</v>
      </c>
      <c r="F18" s="23" t="n">
        <v>11</v>
      </c>
      <c r="G18" s="161" t="s">
        <v>688</v>
      </c>
      <c r="H18" s="170" t="s">
        <v>9</v>
      </c>
      <c r="I18" s="163" t="s">
        <v>13</v>
      </c>
      <c r="J18" s="164" t="s">
        <v>649</v>
      </c>
      <c r="K18" s="23"/>
      <c r="L18" s="165" t="s">
        <v>689</v>
      </c>
      <c r="M18" s="166" t="s">
        <v>656</v>
      </c>
      <c r="N18" s="167"/>
      <c r="O18" s="166" t="n">
        <v>0</v>
      </c>
      <c r="P18" s="168" t="str">
        <f aca="false">IF(N18="","",N18+CHOOSE(MIN(O18,3)+1,3,7,21,45))</f>
        <v/>
      </c>
      <c r="Q18" s="166"/>
      <c r="R18" s="169"/>
    </row>
    <row r="19" customFormat="false" ht="15" hidden="false" customHeight="false" outlineLevel="0" collapsed="false">
      <c r="A19" s="23" t="n">
        <v>18</v>
      </c>
      <c r="B19" s="23" t="s">
        <v>60</v>
      </c>
      <c r="C19" s="29" t="s">
        <v>22</v>
      </c>
      <c r="D19" s="63" t="s">
        <v>109</v>
      </c>
      <c r="E19" s="63" t="s">
        <v>110</v>
      </c>
      <c r="F19" s="23" t="n">
        <v>881</v>
      </c>
      <c r="G19" s="161" t="s">
        <v>690</v>
      </c>
      <c r="H19" s="170" t="s">
        <v>9</v>
      </c>
      <c r="I19" s="171" t="s">
        <v>653</v>
      </c>
      <c r="J19" s="172" t="s">
        <v>654</v>
      </c>
      <c r="K19" s="23"/>
      <c r="L19" s="165" t="s">
        <v>691</v>
      </c>
      <c r="M19" s="166" t="s">
        <v>656</v>
      </c>
      <c r="N19" s="167"/>
      <c r="O19" s="166" t="n">
        <v>0</v>
      </c>
      <c r="P19" s="168" t="str">
        <f aca="false">IF(N19="","",N19+CHOOSE(MIN(O19,3)+1,3,7,21,45))</f>
        <v/>
      </c>
      <c r="Q19" s="166"/>
      <c r="R19" s="169"/>
    </row>
    <row r="20" customFormat="false" ht="15" hidden="false" customHeight="false" outlineLevel="0" collapsed="false">
      <c r="A20" s="23" t="n">
        <v>19</v>
      </c>
      <c r="B20" s="23" t="s">
        <v>60</v>
      </c>
      <c r="C20" s="29" t="s">
        <v>22</v>
      </c>
      <c r="D20" s="63" t="s">
        <v>109</v>
      </c>
      <c r="E20" s="63" t="s">
        <v>110</v>
      </c>
      <c r="F20" s="23" t="n">
        <v>42</v>
      </c>
      <c r="G20" s="161" t="s">
        <v>692</v>
      </c>
      <c r="H20" s="175" t="s">
        <v>11</v>
      </c>
      <c r="I20" s="173" t="s">
        <v>668</v>
      </c>
      <c r="J20" s="174" t="s">
        <v>669</v>
      </c>
      <c r="K20" s="23"/>
      <c r="L20" s="165" t="s">
        <v>693</v>
      </c>
      <c r="M20" s="166" t="s">
        <v>656</v>
      </c>
      <c r="N20" s="167"/>
      <c r="O20" s="166" t="n">
        <v>0</v>
      </c>
      <c r="P20" s="168" t="str">
        <f aca="false">IF(N20="","",N20+CHOOSE(MIN(O20,3)+1,3,7,21,45))</f>
        <v/>
      </c>
      <c r="Q20" s="166"/>
      <c r="R20" s="169"/>
    </row>
    <row r="21" customFormat="false" ht="15" hidden="false" customHeight="false" outlineLevel="0" collapsed="false">
      <c r="A21" s="23" t="n">
        <v>20</v>
      </c>
      <c r="B21" s="23" t="s">
        <v>60</v>
      </c>
      <c r="C21" s="29" t="s">
        <v>22</v>
      </c>
      <c r="D21" s="63" t="s">
        <v>109</v>
      </c>
      <c r="E21" s="63" t="s">
        <v>113</v>
      </c>
      <c r="F21" s="23" t="n">
        <v>26</v>
      </c>
      <c r="G21" s="161" t="s">
        <v>694</v>
      </c>
      <c r="H21" s="162" t="s">
        <v>7</v>
      </c>
      <c r="I21" s="171" t="s">
        <v>653</v>
      </c>
      <c r="J21" s="172" t="s">
        <v>654</v>
      </c>
      <c r="K21" s="23"/>
      <c r="L21" s="165" t="s">
        <v>695</v>
      </c>
      <c r="M21" s="166" t="s">
        <v>656</v>
      </c>
      <c r="N21" s="167"/>
      <c r="O21" s="166" t="n">
        <v>0</v>
      </c>
      <c r="P21" s="168" t="str">
        <f aca="false">IF(N21="","",N21+CHOOSE(MIN(O21,3)+1,3,7,21,45))</f>
        <v/>
      </c>
      <c r="Q21" s="166"/>
      <c r="R21" s="169"/>
    </row>
    <row r="22" customFormat="false" ht="15" hidden="false" customHeight="false" outlineLevel="0" collapsed="false">
      <c r="A22" s="23" t="n">
        <v>21</v>
      </c>
      <c r="B22" s="23" t="s">
        <v>60</v>
      </c>
      <c r="C22" s="29" t="s">
        <v>22</v>
      </c>
      <c r="D22" s="63" t="s">
        <v>109</v>
      </c>
      <c r="E22" s="63" t="s">
        <v>113</v>
      </c>
      <c r="F22" s="23" t="n">
        <v>27</v>
      </c>
      <c r="G22" s="161" t="s">
        <v>696</v>
      </c>
      <c r="H22" s="162" t="s">
        <v>7</v>
      </c>
      <c r="I22" s="171" t="s">
        <v>653</v>
      </c>
      <c r="J22" s="172" t="s">
        <v>654</v>
      </c>
      <c r="K22" s="23"/>
      <c r="L22" s="165" t="s">
        <v>697</v>
      </c>
      <c r="M22" s="166" t="s">
        <v>656</v>
      </c>
      <c r="N22" s="167"/>
      <c r="O22" s="166" t="n">
        <v>0</v>
      </c>
      <c r="P22" s="168" t="str">
        <f aca="false">IF(N22="","",N22+CHOOSE(MIN(O22,3)+1,3,7,21,45))</f>
        <v/>
      </c>
      <c r="Q22" s="166"/>
      <c r="R22" s="169"/>
    </row>
    <row r="23" customFormat="false" ht="15" hidden="false" customHeight="false" outlineLevel="0" collapsed="false">
      <c r="A23" s="23" t="n">
        <v>22</v>
      </c>
      <c r="B23" s="23" t="s">
        <v>60</v>
      </c>
      <c r="C23" s="29" t="s">
        <v>22</v>
      </c>
      <c r="D23" s="63" t="s">
        <v>109</v>
      </c>
      <c r="E23" s="63" t="s">
        <v>113</v>
      </c>
      <c r="F23" s="23" t="n">
        <v>283</v>
      </c>
      <c r="G23" s="161" t="s">
        <v>698</v>
      </c>
      <c r="H23" s="162" t="s">
        <v>7</v>
      </c>
      <c r="I23" s="176" t="s">
        <v>15</v>
      </c>
      <c r="J23" s="174" t="s">
        <v>669</v>
      </c>
      <c r="K23" s="23"/>
      <c r="L23" s="165" t="s">
        <v>699</v>
      </c>
      <c r="M23" s="166" t="s">
        <v>656</v>
      </c>
      <c r="N23" s="167"/>
      <c r="O23" s="166" t="n">
        <v>0</v>
      </c>
      <c r="P23" s="168" t="str">
        <f aca="false">IF(N23="","",N23+CHOOSE(MIN(O23,3)+1,3,7,21,45))</f>
        <v/>
      </c>
      <c r="Q23" s="166"/>
      <c r="R23" s="169"/>
    </row>
    <row r="24" customFormat="false" ht="15" hidden="false" customHeight="false" outlineLevel="0" collapsed="false">
      <c r="A24" s="23" t="n">
        <v>23</v>
      </c>
      <c r="B24" s="23" t="s">
        <v>60</v>
      </c>
      <c r="C24" s="29" t="s">
        <v>22</v>
      </c>
      <c r="D24" s="63" t="s">
        <v>109</v>
      </c>
      <c r="E24" s="63" t="s">
        <v>113</v>
      </c>
      <c r="F24" s="23" t="n">
        <v>88</v>
      </c>
      <c r="G24" s="161" t="s">
        <v>700</v>
      </c>
      <c r="H24" s="162" t="s">
        <v>7</v>
      </c>
      <c r="I24" s="176" t="s">
        <v>15</v>
      </c>
      <c r="J24" s="174" t="s">
        <v>669</v>
      </c>
      <c r="K24" s="23"/>
      <c r="L24" s="165" t="s">
        <v>701</v>
      </c>
      <c r="M24" s="166" t="s">
        <v>656</v>
      </c>
      <c r="N24" s="167"/>
      <c r="O24" s="166" t="n">
        <v>0</v>
      </c>
      <c r="P24" s="168" t="str">
        <f aca="false">IF(N24="","",N24+CHOOSE(MIN(O24,3)+1,3,7,21,45))</f>
        <v/>
      </c>
      <c r="Q24" s="166"/>
      <c r="R24" s="169"/>
    </row>
    <row r="25" customFormat="false" ht="15" hidden="false" customHeight="false" outlineLevel="0" collapsed="false">
      <c r="A25" s="23" t="n">
        <v>24</v>
      </c>
      <c r="B25" s="23" t="s">
        <v>60</v>
      </c>
      <c r="C25" s="29" t="s">
        <v>22</v>
      </c>
      <c r="D25" s="63" t="s">
        <v>109</v>
      </c>
      <c r="E25" s="63" t="s">
        <v>113</v>
      </c>
      <c r="F25" s="23" t="n">
        <v>392</v>
      </c>
      <c r="G25" s="161" t="s">
        <v>702</v>
      </c>
      <c r="H25" s="162" t="s">
        <v>7</v>
      </c>
      <c r="I25" s="171" t="s">
        <v>653</v>
      </c>
      <c r="J25" s="172" t="s">
        <v>654</v>
      </c>
      <c r="K25" s="23"/>
      <c r="L25" s="165" t="s">
        <v>703</v>
      </c>
      <c r="M25" s="166" t="s">
        <v>656</v>
      </c>
      <c r="N25" s="167"/>
      <c r="O25" s="166" t="n">
        <v>0</v>
      </c>
      <c r="P25" s="168" t="str">
        <f aca="false">IF(N25="","",N25+CHOOSE(MIN(O25,3)+1,3,7,21,45))</f>
        <v/>
      </c>
      <c r="Q25" s="166"/>
      <c r="R25" s="169"/>
    </row>
    <row r="26" customFormat="false" ht="15" hidden="false" customHeight="false" outlineLevel="0" collapsed="false">
      <c r="A26" s="23" t="n">
        <v>25</v>
      </c>
      <c r="B26" s="23" t="s">
        <v>60</v>
      </c>
      <c r="C26" s="29" t="s">
        <v>22</v>
      </c>
      <c r="D26" s="63" t="s">
        <v>109</v>
      </c>
      <c r="E26" s="63" t="s">
        <v>113</v>
      </c>
      <c r="F26" s="23" t="n">
        <v>80</v>
      </c>
      <c r="G26" s="161" t="s">
        <v>704</v>
      </c>
      <c r="H26" s="170" t="s">
        <v>9</v>
      </c>
      <c r="I26" s="171" t="s">
        <v>653</v>
      </c>
      <c r="J26" s="172" t="s">
        <v>654</v>
      </c>
      <c r="K26" s="23"/>
      <c r="L26" s="165" t="s">
        <v>705</v>
      </c>
      <c r="M26" s="166" t="s">
        <v>656</v>
      </c>
      <c r="N26" s="167"/>
      <c r="O26" s="166" t="n">
        <v>0</v>
      </c>
      <c r="P26" s="168" t="str">
        <f aca="false">IF(N26="","",N26+CHOOSE(MIN(O26,3)+1,3,7,21,45))</f>
        <v/>
      </c>
      <c r="Q26" s="166"/>
      <c r="R26" s="169"/>
    </row>
    <row r="27" customFormat="false" ht="15" hidden="false" customHeight="false" outlineLevel="0" collapsed="false">
      <c r="A27" s="23" t="n">
        <v>26</v>
      </c>
      <c r="B27" s="23" t="s">
        <v>60</v>
      </c>
      <c r="C27" s="29" t="s">
        <v>22</v>
      </c>
      <c r="D27" s="63" t="s">
        <v>109</v>
      </c>
      <c r="E27" s="63" t="s">
        <v>117</v>
      </c>
      <c r="F27" s="23" t="n">
        <v>15</v>
      </c>
      <c r="G27" s="161" t="s">
        <v>706</v>
      </c>
      <c r="H27" s="170" t="s">
        <v>9</v>
      </c>
      <c r="I27" s="163" t="s">
        <v>13</v>
      </c>
      <c r="J27" s="164" t="s">
        <v>649</v>
      </c>
      <c r="K27" s="23"/>
      <c r="L27" s="165" t="s">
        <v>707</v>
      </c>
      <c r="M27" s="166" t="s">
        <v>656</v>
      </c>
      <c r="N27" s="167"/>
      <c r="O27" s="166" t="n">
        <v>0</v>
      </c>
      <c r="P27" s="168" t="str">
        <f aca="false">IF(N27="","",N27+CHOOSE(MIN(O27,3)+1,3,7,21,45))</f>
        <v/>
      </c>
      <c r="Q27" s="166"/>
      <c r="R27" s="169"/>
    </row>
    <row r="28" customFormat="false" ht="15" hidden="false" customHeight="false" outlineLevel="0" collapsed="false">
      <c r="A28" s="23" t="n">
        <v>27</v>
      </c>
      <c r="B28" s="23" t="s">
        <v>60</v>
      </c>
      <c r="C28" s="29" t="s">
        <v>22</v>
      </c>
      <c r="D28" s="63" t="s">
        <v>109</v>
      </c>
      <c r="E28" s="63" t="s">
        <v>117</v>
      </c>
      <c r="F28" s="23" t="n">
        <v>16</v>
      </c>
      <c r="G28" s="161" t="s">
        <v>708</v>
      </c>
      <c r="H28" s="170" t="s">
        <v>9</v>
      </c>
      <c r="I28" s="171" t="s">
        <v>653</v>
      </c>
      <c r="J28" s="172" t="s">
        <v>654</v>
      </c>
      <c r="K28" s="23"/>
      <c r="L28" s="165" t="s">
        <v>709</v>
      </c>
      <c r="M28" s="166" t="s">
        <v>656</v>
      </c>
      <c r="N28" s="167"/>
      <c r="O28" s="166" t="n">
        <v>0</v>
      </c>
      <c r="P28" s="168" t="str">
        <f aca="false">IF(N28="","",N28+CHOOSE(MIN(O28,3)+1,3,7,21,45))</f>
        <v/>
      </c>
      <c r="Q28" s="166"/>
      <c r="R28" s="169"/>
    </row>
    <row r="29" customFormat="false" ht="15" hidden="false" customHeight="false" outlineLevel="0" collapsed="false">
      <c r="A29" s="23" t="n">
        <v>28</v>
      </c>
      <c r="B29" s="23" t="s">
        <v>60</v>
      </c>
      <c r="C29" s="29" t="s">
        <v>22</v>
      </c>
      <c r="D29" s="63" t="s">
        <v>109</v>
      </c>
      <c r="E29" s="63" t="s">
        <v>117</v>
      </c>
      <c r="F29" s="23" t="n">
        <v>611</v>
      </c>
      <c r="G29" s="161" t="s">
        <v>710</v>
      </c>
      <c r="H29" s="170" t="s">
        <v>9</v>
      </c>
      <c r="I29" s="171" t="s">
        <v>653</v>
      </c>
      <c r="J29" s="172" t="s">
        <v>654</v>
      </c>
      <c r="K29" s="23"/>
      <c r="L29" s="165" t="s">
        <v>711</v>
      </c>
      <c r="M29" s="166" t="s">
        <v>656</v>
      </c>
      <c r="N29" s="167"/>
      <c r="O29" s="166" t="n">
        <v>0</v>
      </c>
      <c r="P29" s="168" t="str">
        <f aca="false">IF(N29="","",N29+CHOOSE(MIN(O29,3)+1,3,7,21,45))</f>
        <v/>
      </c>
      <c r="Q29" s="166"/>
      <c r="R29" s="169"/>
    </row>
    <row r="30" customFormat="false" ht="15" hidden="false" customHeight="false" outlineLevel="0" collapsed="false">
      <c r="A30" s="23" t="n">
        <v>29</v>
      </c>
      <c r="B30" s="23" t="s">
        <v>60</v>
      </c>
      <c r="C30" s="29" t="s">
        <v>22</v>
      </c>
      <c r="D30" s="63" t="s">
        <v>109</v>
      </c>
      <c r="E30" s="63" t="s">
        <v>117</v>
      </c>
      <c r="F30" s="23" t="n">
        <v>18</v>
      </c>
      <c r="G30" s="161" t="s">
        <v>712</v>
      </c>
      <c r="H30" s="170" t="s">
        <v>9</v>
      </c>
      <c r="I30" s="171" t="s">
        <v>653</v>
      </c>
      <c r="J30" s="172" t="s">
        <v>654</v>
      </c>
      <c r="K30" s="23"/>
      <c r="L30" s="165" t="s">
        <v>713</v>
      </c>
      <c r="M30" s="166" t="s">
        <v>656</v>
      </c>
      <c r="N30" s="167"/>
      <c r="O30" s="166" t="n">
        <v>0</v>
      </c>
      <c r="P30" s="168" t="str">
        <f aca="false">IF(N30="","",N30+CHOOSE(MIN(O30,3)+1,3,7,21,45))</f>
        <v/>
      </c>
      <c r="Q30" s="166"/>
      <c r="R30" s="169"/>
    </row>
    <row r="31" customFormat="false" ht="15" hidden="false" customHeight="false" outlineLevel="0" collapsed="false">
      <c r="A31" s="23" t="n">
        <v>30</v>
      </c>
      <c r="B31" s="23" t="s">
        <v>60</v>
      </c>
      <c r="C31" s="29" t="s">
        <v>22</v>
      </c>
      <c r="D31" s="63" t="s">
        <v>109</v>
      </c>
      <c r="E31" s="63" t="s">
        <v>121</v>
      </c>
      <c r="F31" s="23" t="n">
        <v>905</v>
      </c>
      <c r="G31" s="161" t="s">
        <v>714</v>
      </c>
      <c r="H31" s="162" t="s">
        <v>7</v>
      </c>
      <c r="I31" s="171" t="s">
        <v>653</v>
      </c>
      <c r="J31" s="172" t="s">
        <v>654</v>
      </c>
      <c r="K31" s="23"/>
      <c r="L31" s="165" t="s">
        <v>715</v>
      </c>
      <c r="M31" s="166" t="s">
        <v>656</v>
      </c>
      <c r="N31" s="167"/>
      <c r="O31" s="166" t="n">
        <v>0</v>
      </c>
      <c r="P31" s="168" t="str">
        <f aca="false">IF(N31="","",N31+CHOOSE(MIN(O31,3)+1,3,7,21,45))</f>
        <v/>
      </c>
      <c r="Q31" s="166"/>
      <c r="R31" s="169"/>
    </row>
    <row r="32" customFormat="false" ht="15" hidden="false" customHeight="false" outlineLevel="0" collapsed="false">
      <c r="A32" s="23" t="n">
        <v>31</v>
      </c>
      <c r="B32" s="23" t="s">
        <v>60</v>
      </c>
      <c r="C32" s="29" t="s">
        <v>22</v>
      </c>
      <c r="D32" s="63" t="s">
        <v>109</v>
      </c>
      <c r="E32" s="63" t="s">
        <v>121</v>
      </c>
      <c r="F32" s="23" t="n">
        <v>75</v>
      </c>
      <c r="G32" s="161" t="s">
        <v>716</v>
      </c>
      <c r="H32" s="170" t="s">
        <v>9</v>
      </c>
      <c r="I32" s="176" t="s">
        <v>15</v>
      </c>
      <c r="J32" s="174" t="s">
        <v>669</v>
      </c>
      <c r="K32" s="23"/>
      <c r="L32" s="165" t="s">
        <v>717</v>
      </c>
      <c r="M32" s="166" t="s">
        <v>656</v>
      </c>
      <c r="N32" s="167"/>
      <c r="O32" s="166" t="n">
        <v>0</v>
      </c>
      <c r="P32" s="168" t="str">
        <f aca="false">IF(N32="","",N32+CHOOSE(MIN(O32,3)+1,3,7,21,45))</f>
        <v/>
      </c>
      <c r="Q32" s="166"/>
      <c r="R32" s="169"/>
    </row>
    <row r="33" customFormat="false" ht="15" hidden="false" customHeight="false" outlineLevel="0" collapsed="false">
      <c r="A33" s="23" t="n">
        <v>32</v>
      </c>
      <c r="B33" s="23" t="s">
        <v>60</v>
      </c>
      <c r="C33" s="29" t="s">
        <v>22</v>
      </c>
      <c r="D33" s="63" t="s">
        <v>109</v>
      </c>
      <c r="E33" s="63" t="s">
        <v>121</v>
      </c>
      <c r="F33" s="23" t="n">
        <v>2161</v>
      </c>
      <c r="G33" s="161" t="s">
        <v>718</v>
      </c>
      <c r="H33" s="170" t="s">
        <v>9</v>
      </c>
      <c r="I33" s="171" t="s">
        <v>653</v>
      </c>
      <c r="J33" s="172" t="s">
        <v>654</v>
      </c>
      <c r="K33" s="23"/>
      <c r="L33" s="165" t="s">
        <v>719</v>
      </c>
      <c r="M33" s="166" t="s">
        <v>656</v>
      </c>
      <c r="N33" s="167"/>
      <c r="O33" s="166" t="n">
        <v>0</v>
      </c>
      <c r="P33" s="168" t="str">
        <f aca="false">IF(N33="","",N33+CHOOSE(MIN(O33,3)+1,3,7,21,45))</f>
        <v/>
      </c>
      <c r="Q33" s="166"/>
      <c r="R33" s="169"/>
    </row>
    <row r="34" customFormat="false" ht="15" hidden="false" customHeight="false" outlineLevel="0" collapsed="false">
      <c r="A34" s="23" t="n">
        <v>33</v>
      </c>
      <c r="B34" s="23" t="s">
        <v>60</v>
      </c>
      <c r="C34" s="29" t="s">
        <v>22</v>
      </c>
      <c r="D34" s="63" t="s">
        <v>125</v>
      </c>
      <c r="E34" s="63" t="s">
        <v>126</v>
      </c>
      <c r="F34" s="23" t="n">
        <v>189</v>
      </c>
      <c r="G34" s="161" t="s">
        <v>720</v>
      </c>
      <c r="H34" s="170" t="s">
        <v>9</v>
      </c>
      <c r="I34" s="176" t="s">
        <v>15</v>
      </c>
      <c r="J34" s="174" t="s">
        <v>669</v>
      </c>
      <c r="K34" s="23"/>
      <c r="L34" s="165" t="s">
        <v>721</v>
      </c>
      <c r="M34" s="166" t="s">
        <v>656</v>
      </c>
      <c r="N34" s="167"/>
      <c r="O34" s="166" t="n">
        <v>0</v>
      </c>
      <c r="P34" s="168" t="str">
        <f aca="false">IF(N34="","",N34+CHOOSE(MIN(O34,3)+1,3,7,21,45))</f>
        <v/>
      </c>
      <c r="Q34" s="166"/>
      <c r="R34" s="169"/>
    </row>
    <row r="35" customFormat="false" ht="15" hidden="false" customHeight="false" outlineLevel="0" collapsed="false">
      <c r="A35" s="23" t="n">
        <v>34</v>
      </c>
      <c r="B35" s="23" t="s">
        <v>60</v>
      </c>
      <c r="C35" s="29" t="s">
        <v>22</v>
      </c>
      <c r="D35" s="63" t="s">
        <v>125</v>
      </c>
      <c r="E35" s="63" t="s">
        <v>126</v>
      </c>
      <c r="F35" s="23" t="n">
        <v>31</v>
      </c>
      <c r="G35" s="161" t="s">
        <v>722</v>
      </c>
      <c r="H35" s="170" t="s">
        <v>9</v>
      </c>
      <c r="I35" s="176" t="s">
        <v>15</v>
      </c>
      <c r="J35" s="174" t="s">
        <v>669</v>
      </c>
      <c r="K35" s="23"/>
      <c r="L35" s="165" t="s">
        <v>723</v>
      </c>
      <c r="M35" s="166" t="s">
        <v>656</v>
      </c>
      <c r="N35" s="167"/>
      <c r="O35" s="166" t="n">
        <v>0</v>
      </c>
      <c r="P35" s="168" t="str">
        <f aca="false">IF(N35="","",N35+CHOOSE(MIN(O35,3)+1,3,7,21,45))</f>
        <v/>
      </c>
      <c r="Q35" s="166"/>
      <c r="R35" s="169"/>
    </row>
    <row r="36" customFormat="false" ht="15" hidden="false" customHeight="false" outlineLevel="0" collapsed="false">
      <c r="A36" s="23" t="n">
        <v>35</v>
      </c>
      <c r="B36" s="23" t="s">
        <v>60</v>
      </c>
      <c r="C36" s="29" t="s">
        <v>22</v>
      </c>
      <c r="D36" s="63" t="s">
        <v>125</v>
      </c>
      <c r="E36" s="63" t="s">
        <v>129</v>
      </c>
      <c r="F36" s="23" t="n">
        <v>169</v>
      </c>
      <c r="G36" s="161" t="s">
        <v>724</v>
      </c>
      <c r="H36" s="162" t="s">
        <v>7</v>
      </c>
      <c r="I36" s="176" t="s">
        <v>15</v>
      </c>
      <c r="J36" s="174" t="s">
        <v>669</v>
      </c>
      <c r="K36" s="23"/>
      <c r="L36" s="165" t="s">
        <v>725</v>
      </c>
      <c r="M36" s="166" t="s">
        <v>656</v>
      </c>
      <c r="N36" s="167"/>
      <c r="O36" s="166" t="n">
        <v>0</v>
      </c>
      <c r="P36" s="168" t="str">
        <f aca="false">IF(N36="","",N36+CHOOSE(MIN(O36,3)+1,3,7,21,45))</f>
        <v/>
      </c>
      <c r="Q36" s="166"/>
      <c r="R36" s="169"/>
    </row>
    <row r="37" customFormat="false" ht="15" hidden="false" customHeight="false" outlineLevel="0" collapsed="false">
      <c r="A37" s="23" t="n">
        <v>36</v>
      </c>
      <c r="B37" s="23" t="s">
        <v>60</v>
      </c>
      <c r="C37" s="29" t="s">
        <v>22</v>
      </c>
      <c r="D37" s="63" t="s">
        <v>125</v>
      </c>
      <c r="E37" s="63" t="s">
        <v>129</v>
      </c>
      <c r="F37" s="23" t="n">
        <v>229</v>
      </c>
      <c r="G37" s="161" t="s">
        <v>726</v>
      </c>
      <c r="H37" s="170" t="s">
        <v>9</v>
      </c>
      <c r="I37" s="171" t="s">
        <v>653</v>
      </c>
      <c r="J37" s="172" t="s">
        <v>654</v>
      </c>
      <c r="K37" s="23"/>
      <c r="L37" s="165" t="s">
        <v>727</v>
      </c>
      <c r="M37" s="166" t="s">
        <v>656</v>
      </c>
      <c r="N37" s="167"/>
      <c r="O37" s="166" t="n">
        <v>0</v>
      </c>
      <c r="P37" s="168" t="str">
        <f aca="false">IF(N37="","",N37+CHOOSE(MIN(O37,3)+1,3,7,21,45))</f>
        <v/>
      </c>
      <c r="Q37" s="166"/>
      <c r="R37" s="169"/>
    </row>
    <row r="38" customFormat="false" ht="15" hidden="false" customHeight="false" outlineLevel="0" collapsed="false">
      <c r="A38" s="23" t="n">
        <v>37</v>
      </c>
      <c r="B38" s="23" t="s">
        <v>60</v>
      </c>
      <c r="C38" s="29" t="s">
        <v>22</v>
      </c>
      <c r="D38" s="63" t="s">
        <v>125</v>
      </c>
      <c r="E38" s="63" t="s">
        <v>132</v>
      </c>
      <c r="F38" s="23" t="n">
        <v>448</v>
      </c>
      <c r="G38" s="161" t="s">
        <v>728</v>
      </c>
      <c r="H38" s="162" t="s">
        <v>7</v>
      </c>
      <c r="I38" s="171" t="s">
        <v>653</v>
      </c>
      <c r="J38" s="172" t="s">
        <v>654</v>
      </c>
      <c r="K38" s="23"/>
      <c r="L38" s="165" t="s">
        <v>729</v>
      </c>
      <c r="M38" s="166" t="s">
        <v>656</v>
      </c>
      <c r="N38" s="167"/>
      <c r="O38" s="166" t="n">
        <v>0</v>
      </c>
      <c r="P38" s="168" t="str">
        <f aca="false">IF(N38="","",N38+CHOOSE(MIN(O38,3)+1,3,7,21,45))</f>
        <v/>
      </c>
      <c r="Q38" s="166"/>
      <c r="R38" s="169"/>
    </row>
    <row r="39" customFormat="false" ht="15" hidden="false" customHeight="false" outlineLevel="0" collapsed="false">
      <c r="A39" s="23" t="n">
        <v>38</v>
      </c>
      <c r="B39" s="23" t="s">
        <v>60</v>
      </c>
      <c r="C39" s="29" t="s">
        <v>22</v>
      </c>
      <c r="D39" s="63" t="s">
        <v>125</v>
      </c>
      <c r="E39" s="63" t="s">
        <v>132</v>
      </c>
      <c r="F39" s="23" t="n">
        <v>442</v>
      </c>
      <c r="G39" s="161" t="s">
        <v>730</v>
      </c>
      <c r="H39" s="170" t="s">
        <v>9</v>
      </c>
      <c r="I39" s="171" t="s">
        <v>653</v>
      </c>
      <c r="J39" s="172" t="s">
        <v>654</v>
      </c>
      <c r="K39" s="23"/>
      <c r="L39" s="165" t="s">
        <v>731</v>
      </c>
      <c r="M39" s="166" t="s">
        <v>656</v>
      </c>
      <c r="N39" s="167"/>
      <c r="O39" s="166" t="n">
        <v>0</v>
      </c>
      <c r="P39" s="168" t="str">
        <f aca="false">IF(N39="","",N39+CHOOSE(MIN(O39,3)+1,3,7,21,45))</f>
        <v/>
      </c>
      <c r="Q39" s="166"/>
      <c r="R39" s="169"/>
    </row>
    <row r="40" customFormat="false" ht="15" hidden="false" customHeight="false" outlineLevel="0" collapsed="false">
      <c r="A40" s="23" t="n">
        <v>39</v>
      </c>
      <c r="B40" s="23" t="s">
        <v>60</v>
      </c>
      <c r="C40" s="29" t="s">
        <v>22</v>
      </c>
      <c r="D40" s="63" t="s">
        <v>125</v>
      </c>
      <c r="E40" s="63" t="s">
        <v>132</v>
      </c>
      <c r="F40" s="23" t="n">
        <v>287</v>
      </c>
      <c r="G40" s="161" t="s">
        <v>732</v>
      </c>
      <c r="H40" s="170" t="s">
        <v>9</v>
      </c>
      <c r="I40" s="173" t="s">
        <v>668</v>
      </c>
      <c r="J40" s="174" t="s">
        <v>669</v>
      </c>
      <c r="K40" s="23"/>
      <c r="L40" s="165" t="s">
        <v>733</v>
      </c>
      <c r="M40" s="166" t="s">
        <v>656</v>
      </c>
      <c r="N40" s="167"/>
      <c r="O40" s="166" t="n">
        <v>0</v>
      </c>
      <c r="P40" s="168" t="str">
        <f aca="false">IF(N40="","",N40+CHOOSE(MIN(O40,3)+1,3,7,21,45))</f>
        <v/>
      </c>
      <c r="Q40" s="166"/>
      <c r="R40" s="169"/>
    </row>
    <row r="41" customFormat="false" ht="15" hidden="false" customHeight="false" outlineLevel="0" collapsed="false">
      <c r="A41" s="23" t="n">
        <v>40</v>
      </c>
      <c r="B41" s="23" t="s">
        <v>60</v>
      </c>
      <c r="C41" s="29" t="s">
        <v>22</v>
      </c>
      <c r="D41" s="63" t="s">
        <v>125</v>
      </c>
      <c r="E41" s="63" t="s">
        <v>132</v>
      </c>
      <c r="F41" s="23" t="n">
        <v>41</v>
      </c>
      <c r="G41" s="161" t="s">
        <v>734</v>
      </c>
      <c r="H41" s="175" t="s">
        <v>11</v>
      </c>
      <c r="I41" s="176" t="s">
        <v>15</v>
      </c>
      <c r="J41" s="174" t="s">
        <v>669</v>
      </c>
      <c r="K41" s="23"/>
      <c r="L41" s="165" t="s">
        <v>735</v>
      </c>
      <c r="M41" s="166" t="s">
        <v>656</v>
      </c>
      <c r="N41" s="167"/>
      <c r="O41" s="166" t="n">
        <v>0</v>
      </c>
      <c r="P41" s="168" t="str">
        <f aca="false">IF(N41="","",N41+CHOOSE(MIN(O41,3)+1,3,7,21,45))</f>
        <v/>
      </c>
      <c r="Q41" s="166"/>
      <c r="R41" s="169"/>
    </row>
    <row r="42" customFormat="false" ht="15" hidden="false" customHeight="false" outlineLevel="0" collapsed="false">
      <c r="A42" s="23" t="n">
        <v>41</v>
      </c>
      <c r="B42" s="23" t="s">
        <v>25</v>
      </c>
      <c r="C42" s="29" t="s">
        <v>22</v>
      </c>
      <c r="D42" s="63" t="s">
        <v>135</v>
      </c>
      <c r="E42" s="63" t="s">
        <v>136</v>
      </c>
      <c r="F42" s="23" t="n">
        <v>643</v>
      </c>
      <c r="G42" s="161" t="s">
        <v>736</v>
      </c>
      <c r="H42" s="162" t="s">
        <v>7</v>
      </c>
      <c r="I42" s="176" t="s">
        <v>15</v>
      </c>
      <c r="J42" s="174" t="s">
        <v>669</v>
      </c>
      <c r="K42" s="23"/>
      <c r="L42" s="165" t="s">
        <v>737</v>
      </c>
      <c r="M42" s="166" t="s">
        <v>656</v>
      </c>
      <c r="N42" s="167"/>
      <c r="O42" s="166" t="n">
        <v>0</v>
      </c>
      <c r="P42" s="168" t="str">
        <f aca="false">IF(N42="","",N42+CHOOSE(MIN(O42,3)+1,3,7,21,45))</f>
        <v/>
      </c>
      <c r="Q42" s="166"/>
      <c r="R42" s="169"/>
    </row>
    <row r="43" customFormat="false" ht="15" hidden="false" customHeight="false" outlineLevel="0" collapsed="false">
      <c r="A43" s="23" t="n">
        <v>42</v>
      </c>
      <c r="B43" s="23" t="s">
        <v>25</v>
      </c>
      <c r="C43" s="29" t="s">
        <v>22</v>
      </c>
      <c r="D43" s="63" t="s">
        <v>135</v>
      </c>
      <c r="E43" s="63" t="s">
        <v>136</v>
      </c>
      <c r="F43" s="23" t="n">
        <v>1456</v>
      </c>
      <c r="G43" s="161" t="s">
        <v>738</v>
      </c>
      <c r="H43" s="170" t="s">
        <v>9</v>
      </c>
      <c r="I43" s="171" t="s">
        <v>653</v>
      </c>
      <c r="J43" s="172" t="s">
        <v>654</v>
      </c>
      <c r="K43" s="23"/>
      <c r="L43" s="165" t="s">
        <v>739</v>
      </c>
      <c r="M43" s="166" t="s">
        <v>656</v>
      </c>
      <c r="N43" s="167"/>
      <c r="O43" s="166" t="n">
        <v>0</v>
      </c>
      <c r="P43" s="168" t="str">
        <f aca="false">IF(N43="","",N43+CHOOSE(MIN(O43,3)+1,3,7,21,45))</f>
        <v/>
      </c>
      <c r="Q43" s="166"/>
      <c r="R43" s="169"/>
    </row>
    <row r="44" customFormat="false" ht="15" hidden="false" customHeight="false" outlineLevel="0" collapsed="false">
      <c r="A44" s="23" t="n">
        <v>43</v>
      </c>
      <c r="B44" s="23" t="s">
        <v>25</v>
      </c>
      <c r="C44" s="29" t="s">
        <v>22</v>
      </c>
      <c r="D44" s="63" t="s">
        <v>135</v>
      </c>
      <c r="E44" s="63" t="s">
        <v>136</v>
      </c>
      <c r="F44" s="23" t="n">
        <v>567</v>
      </c>
      <c r="G44" s="161" t="s">
        <v>740</v>
      </c>
      <c r="H44" s="170" t="s">
        <v>9</v>
      </c>
      <c r="I44" s="173" t="s">
        <v>668</v>
      </c>
      <c r="J44" s="174" t="s">
        <v>669</v>
      </c>
      <c r="K44" s="23"/>
      <c r="L44" s="165" t="s">
        <v>741</v>
      </c>
      <c r="M44" s="166" t="s">
        <v>656</v>
      </c>
      <c r="N44" s="167"/>
      <c r="O44" s="166" t="n">
        <v>0</v>
      </c>
      <c r="P44" s="168" t="str">
        <f aca="false">IF(N44="","",N44+CHOOSE(MIN(O44,3)+1,3,7,21,45))</f>
        <v/>
      </c>
      <c r="Q44" s="166"/>
      <c r="R44" s="169"/>
    </row>
    <row r="45" customFormat="false" ht="15" hidden="false" customHeight="false" outlineLevel="0" collapsed="false">
      <c r="A45" s="23" t="n">
        <v>44</v>
      </c>
      <c r="B45" s="23" t="s">
        <v>25</v>
      </c>
      <c r="C45" s="29" t="s">
        <v>22</v>
      </c>
      <c r="D45" s="63" t="s">
        <v>135</v>
      </c>
      <c r="E45" s="63" t="s">
        <v>136</v>
      </c>
      <c r="F45" s="23" t="n">
        <v>438</v>
      </c>
      <c r="G45" s="161" t="s">
        <v>742</v>
      </c>
      <c r="H45" s="170" t="s">
        <v>9</v>
      </c>
      <c r="I45" s="176" t="s">
        <v>15</v>
      </c>
      <c r="J45" s="174" t="s">
        <v>669</v>
      </c>
      <c r="K45" s="23"/>
      <c r="L45" s="165" t="s">
        <v>743</v>
      </c>
      <c r="M45" s="166" t="s">
        <v>656</v>
      </c>
      <c r="N45" s="167"/>
      <c r="O45" s="166" t="n">
        <v>0</v>
      </c>
      <c r="P45" s="168" t="str">
        <f aca="false">IF(N45="","",N45+CHOOSE(MIN(O45,3)+1,3,7,21,45))</f>
        <v/>
      </c>
      <c r="Q45" s="166"/>
      <c r="R45" s="169"/>
    </row>
    <row r="46" customFormat="false" ht="15" hidden="false" customHeight="false" outlineLevel="0" collapsed="false">
      <c r="A46" s="23" t="n">
        <v>45</v>
      </c>
      <c r="B46" s="23" t="s">
        <v>25</v>
      </c>
      <c r="C46" s="29" t="s">
        <v>22</v>
      </c>
      <c r="D46" s="63" t="s">
        <v>135</v>
      </c>
      <c r="E46" s="63" t="s">
        <v>136</v>
      </c>
      <c r="F46" s="23" t="n">
        <v>1423</v>
      </c>
      <c r="G46" s="161" t="s">
        <v>744</v>
      </c>
      <c r="H46" s="170" t="s">
        <v>9</v>
      </c>
      <c r="I46" s="171" t="s">
        <v>653</v>
      </c>
      <c r="J46" s="172" t="s">
        <v>654</v>
      </c>
      <c r="K46" s="23"/>
      <c r="L46" s="165" t="s">
        <v>745</v>
      </c>
      <c r="M46" s="166" t="s">
        <v>656</v>
      </c>
      <c r="N46" s="167"/>
      <c r="O46" s="166" t="n">
        <v>0</v>
      </c>
      <c r="P46" s="168" t="str">
        <f aca="false">IF(N46="","",N46+CHOOSE(MIN(O46,3)+1,3,7,21,45))</f>
        <v/>
      </c>
      <c r="Q46" s="166"/>
      <c r="R46" s="169"/>
    </row>
    <row r="47" customFormat="false" ht="15" hidden="false" customHeight="false" outlineLevel="0" collapsed="false">
      <c r="A47" s="23" t="n">
        <v>46</v>
      </c>
      <c r="B47" s="23" t="s">
        <v>25</v>
      </c>
      <c r="C47" s="29" t="s">
        <v>22</v>
      </c>
      <c r="D47" s="63" t="s">
        <v>135</v>
      </c>
      <c r="E47" s="63" t="s">
        <v>136</v>
      </c>
      <c r="F47" s="23" t="n">
        <v>2461</v>
      </c>
      <c r="G47" s="161" t="s">
        <v>746</v>
      </c>
      <c r="H47" s="170" t="s">
        <v>9</v>
      </c>
      <c r="I47" s="171" t="s">
        <v>653</v>
      </c>
      <c r="J47" s="172" t="s">
        <v>654</v>
      </c>
      <c r="K47" s="23"/>
      <c r="L47" s="165" t="s">
        <v>747</v>
      </c>
      <c r="M47" s="166" t="s">
        <v>656</v>
      </c>
      <c r="N47" s="167"/>
      <c r="O47" s="166" t="n">
        <v>0</v>
      </c>
      <c r="P47" s="168" t="str">
        <f aca="false">IF(N47="","",N47+CHOOSE(MIN(O47,3)+1,3,7,21,45))</f>
        <v/>
      </c>
      <c r="Q47" s="166"/>
      <c r="R47" s="169"/>
    </row>
    <row r="48" customFormat="false" ht="15" hidden="false" customHeight="false" outlineLevel="0" collapsed="false">
      <c r="A48" s="23" t="n">
        <v>47</v>
      </c>
      <c r="B48" s="23" t="s">
        <v>25</v>
      </c>
      <c r="C48" s="29" t="s">
        <v>22</v>
      </c>
      <c r="D48" s="63" t="s">
        <v>135</v>
      </c>
      <c r="E48" s="63" t="s">
        <v>136</v>
      </c>
      <c r="F48" s="23" t="n">
        <v>30</v>
      </c>
      <c r="G48" s="161" t="s">
        <v>748</v>
      </c>
      <c r="H48" s="175" t="s">
        <v>11</v>
      </c>
      <c r="I48" s="171" t="s">
        <v>653</v>
      </c>
      <c r="J48" s="172" t="s">
        <v>654</v>
      </c>
      <c r="K48" s="23"/>
      <c r="L48" s="165" t="s">
        <v>749</v>
      </c>
      <c r="M48" s="166" t="s">
        <v>656</v>
      </c>
      <c r="N48" s="167"/>
      <c r="O48" s="166" t="n">
        <v>0</v>
      </c>
      <c r="P48" s="168" t="str">
        <f aca="false">IF(N48="","",N48+CHOOSE(MIN(O48,3)+1,3,7,21,45))</f>
        <v/>
      </c>
      <c r="Q48" s="166"/>
      <c r="R48" s="169"/>
    </row>
    <row r="49" customFormat="false" ht="23.85" hidden="false" customHeight="false" outlineLevel="0" collapsed="false">
      <c r="A49" s="23" t="n">
        <v>48</v>
      </c>
      <c r="B49" s="23" t="s">
        <v>25</v>
      </c>
      <c r="C49" s="29" t="s">
        <v>22</v>
      </c>
      <c r="D49" s="63" t="s">
        <v>135</v>
      </c>
      <c r="E49" s="63" t="s">
        <v>139</v>
      </c>
      <c r="F49" s="23" t="n">
        <v>3</v>
      </c>
      <c r="G49" s="161" t="s">
        <v>750</v>
      </c>
      <c r="H49" s="170" t="s">
        <v>9</v>
      </c>
      <c r="I49" s="163" t="s">
        <v>13</v>
      </c>
      <c r="J49" s="164" t="s">
        <v>649</v>
      </c>
      <c r="K49" s="23"/>
      <c r="L49" s="165" t="s">
        <v>751</v>
      </c>
      <c r="M49" s="166" t="s">
        <v>656</v>
      </c>
      <c r="N49" s="167"/>
      <c r="O49" s="166" t="n">
        <v>0</v>
      </c>
      <c r="P49" s="168" t="str">
        <f aca="false">IF(N49="","",N49+CHOOSE(MIN(O49,3)+1,3,7,21,45))</f>
        <v/>
      </c>
      <c r="Q49" s="166"/>
      <c r="R49" s="169"/>
    </row>
    <row r="50" customFormat="false" ht="23.85" hidden="false" customHeight="false" outlineLevel="0" collapsed="false">
      <c r="A50" s="23" t="n">
        <v>49</v>
      </c>
      <c r="B50" s="23" t="s">
        <v>25</v>
      </c>
      <c r="C50" s="29" t="s">
        <v>22</v>
      </c>
      <c r="D50" s="63" t="s">
        <v>135</v>
      </c>
      <c r="E50" s="63" t="s">
        <v>139</v>
      </c>
      <c r="F50" s="23" t="n">
        <v>209</v>
      </c>
      <c r="G50" s="161" t="s">
        <v>752</v>
      </c>
      <c r="H50" s="170" t="s">
        <v>9</v>
      </c>
      <c r="I50" s="176" t="s">
        <v>15</v>
      </c>
      <c r="J50" s="174" t="s">
        <v>669</v>
      </c>
      <c r="K50" s="23"/>
      <c r="L50" s="165" t="s">
        <v>753</v>
      </c>
      <c r="M50" s="166" t="s">
        <v>656</v>
      </c>
      <c r="N50" s="167"/>
      <c r="O50" s="166" t="n">
        <v>0</v>
      </c>
      <c r="P50" s="168" t="str">
        <f aca="false">IF(N50="","",N50+CHOOSE(MIN(O50,3)+1,3,7,21,45))</f>
        <v/>
      </c>
      <c r="Q50" s="166"/>
      <c r="R50" s="169"/>
    </row>
    <row r="51" customFormat="false" ht="23.85" hidden="false" customHeight="false" outlineLevel="0" collapsed="false">
      <c r="A51" s="23" t="n">
        <v>50</v>
      </c>
      <c r="B51" s="23" t="s">
        <v>25</v>
      </c>
      <c r="C51" s="29" t="s">
        <v>22</v>
      </c>
      <c r="D51" s="63" t="s">
        <v>135</v>
      </c>
      <c r="E51" s="63" t="s">
        <v>139</v>
      </c>
      <c r="F51" s="23" t="n">
        <v>424</v>
      </c>
      <c r="G51" s="161" t="s">
        <v>754</v>
      </c>
      <c r="H51" s="170" t="s">
        <v>9</v>
      </c>
      <c r="I51" s="163" t="s">
        <v>13</v>
      </c>
      <c r="J51" s="164" t="s">
        <v>649</v>
      </c>
      <c r="K51" s="23"/>
      <c r="L51" s="165" t="s">
        <v>755</v>
      </c>
      <c r="M51" s="166" t="s">
        <v>656</v>
      </c>
      <c r="N51" s="167"/>
      <c r="O51" s="166" t="n">
        <v>0</v>
      </c>
      <c r="P51" s="168" t="str">
        <f aca="false">IF(N51="","",N51+CHOOSE(MIN(O51,3)+1,3,7,21,45))</f>
        <v/>
      </c>
      <c r="Q51" s="166"/>
      <c r="R51" s="169"/>
    </row>
    <row r="52" customFormat="false" ht="23.85" hidden="false" customHeight="false" outlineLevel="0" collapsed="false">
      <c r="A52" s="23" t="n">
        <v>51</v>
      </c>
      <c r="B52" s="23" t="s">
        <v>25</v>
      </c>
      <c r="C52" s="29" t="s">
        <v>22</v>
      </c>
      <c r="D52" s="63" t="s">
        <v>135</v>
      </c>
      <c r="E52" s="63" t="s">
        <v>139</v>
      </c>
      <c r="F52" s="23" t="n">
        <v>1004</v>
      </c>
      <c r="G52" s="161" t="s">
        <v>756</v>
      </c>
      <c r="H52" s="170" t="s">
        <v>9</v>
      </c>
      <c r="I52" s="176" t="s">
        <v>15</v>
      </c>
      <c r="J52" s="174" t="s">
        <v>669</v>
      </c>
      <c r="K52" s="23"/>
      <c r="L52" s="165" t="s">
        <v>757</v>
      </c>
      <c r="M52" s="166" t="s">
        <v>656</v>
      </c>
      <c r="N52" s="167"/>
      <c r="O52" s="166" t="n">
        <v>0</v>
      </c>
      <c r="P52" s="168" t="str">
        <f aca="false">IF(N52="","",N52+CHOOSE(MIN(O52,3)+1,3,7,21,45))</f>
        <v/>
      </c>
      <c r="Q52" s="166"/>
      <c r="R52" s="169"/>
    </row>
    <row r="53" customFormat="false" ht="23.85" hidden="false" customHeight="false" outlineLevel="0" collapsed="false">
      <c r="A53" s="23" t="n">
        <v>52</v>
      </c>
      <c r="B53" s="23" t="s">
        <v>25</v>
      </c>
      <c r="C53" s="29" t="s">
        <v>22</v>
      </c>
      <c r="D53" s="63" t="s">
        <v>135</v>
      </c>
      <c r="E53" s="63" t="s">
        <v>139</v>
      </c>
      <c r="F53" s="23" t="n">
        <v>904</v>
      </c>
      <c r="G53" s="161" t="s">
        <v>758</v>
      </c>
      <c r="H53" s="170" t="s">
        <v>9</v>
      </c>
      <c r="I53" s="171" t="s">
        <v>653</v>
      </c>
      <c r="J53" s="172" t="s">
        <v>654</v>
      </c>
      <c r="K53" s="23"/>
      <c r="L53" s="165" t="s">
        <v>759</v>
      </c>
      <c r="M53" s="166" t="s">
        <v>656</v>
      </c>
      <c r="N53" s="167"/>
      <c r="O53" s="166" t="n">
        <v>0</v>
      </c>
      <c r="P53" s="168" t="str">
        <f aca="false">IF(N53="","",N53+CHOOSE(MIN(O53,3)+1,3,7,21,45))</f>
        <v/>
      </c>
      <c r="Q53" s="166"/>
      <c r="R53" s="169"/>
    </row>
    <row r="54" customFormat="false" ht="23.85" hidden="false" customHeight="false" outlineLevel="0" collapsed="false">
      <c r="A54" s="23" t="n">
        <v>53</v>
      </c>
      <c r="B54" s="23" t="s">
        <v>25</v>
      </c>
      <c r="C54" s="29" t="s">
        <v>22</v>
      </c>
      <c r="D54" s="63" t="s">
        <v>135</v>
      </c>
      <c r="E54" s="63" t="s">
        <v>139</v>
      </c>
      <c r="F54" s="23" t="n">
        <v>1493</v>
      </c>
      <c r="G54" s="161" t="s">
        <v>760</v>
      </c>
      <c r="H54" s="170" t="s">
        <v>9</v>
      </c>
      <c r="I54" s="171" t="s">
        <v>653</v>
      </c>
      <c r="J54" s="172" t="s">
        <v>654</v>
      </c>
      <c r="K54" s="23"/>
      <c r="L54" s="165" t="s">
        <v>761</v>
      </c>
      <c r="M54" s="166" t="s">
        <v>656</v>
      </c>
      <c r="N54" s="167"/>
      <c r="O54" s="166" t="n">
        <v>0</v>
      </c>
      <c r="P54" s="168" t="str">
        <f aca="false">IF(N54="","",N54+CHOOSE(MIN(O54,3)+1,3,7,21,45))</f>
        <v/>
      </c>
      <c r="Q54" s="166"/>
      <c r="R54" s="169"/>
    </row>
    <row r="55" customFormat="false" ht="23.85" hidden="false" customHeight="false" outlineLevel="0" collapsed="false">
      <c r="A55" s="23" t="n">
        <v>54</v>
      </c>
      <c r="B55" s="23" t="s">
        <v>25</v>
      </c>
      <c r="C55" s="29" t="s">
        <v>22</v>
      </c>
      <c r="D55" s="63" t="s">
        <v>135</v>
      </c>
      <c r="E55" s="63" t="s">
        <v>139</v>
      </c>
      <c r="F55" s="23" t="n">
        <v>76</v>
      </c>
      <c r="G55" s="161" t="s">
        <v>762</v>
      </c>
      <c r="H55" s="175" t="s">
        <v>11</v>
      </c>
      <c r="I55" s="163" t="s">
        <v>13</v>
      </c>
      <c r="J55" s="164" t="s">
        <v>649</v>
      </c>
      <c r="K55" s="23"/>
      <c r="L55" s="165" t="s">
        <v>763</v>
      </c>
      <c r="M55" s="166" t="s">
        <v>656</v>
      </c>
      <c r="N55" s="167"/>
      <c r="O55" s="166" t="n">
        <v>0</v>
      </c>
      <c r="P55" s="168" t="str">
        <f aca="false">IF(N55="","",N55+CHOOSE(MIN(O55,3)+1,3,7,21,45))</f>
        <v/>
      </c>
      <c r="Q55" s="166"/>
      <c r="R55" s="169"/>
    </row>
    <row r="56" customFormat="false" ht="23.85" hidden="false" customHeight="false" outlineLevel="0" collapsed="false">
      <c r="A56" s="23" t="n">
        <v>55</v>
      </c>
      <c r="B56" s="23" t="s">
        <v>25</v>
      </c>
      <c r="C56" s="29" t="s">
        <v>22</v>
      </c>
      <c r="D56" s="63" t="s">
        <v>135</v>
      </c>
      <c r="E56" s="63" t="s">
        <v>142</v>
      </c>
      <c r="F56" s="23" t="n">
        <v>713</v>
      </c>
      <c r="G56" s="161" t="s">
        <v>764</v>
      </c>
      <c r="H56" s="170" t="s">
        <v>9</v>
      </c>
      <c r="I56" s="176" t="s">
        <v>15</v>
      </c>
      <c r="J56" s="174" t="s">
        <v>669</v>
      </c>
      <c r="K56" s="23"/>
      <c r="L56" s="165" t="s">
        <v>765</v>
      </c>
      <c r="M56" s="166" t="s">
        <v>656</v>
      </c>
      <c r="N56" s="167"/>
      <c r="O56" s="166" t="n">
        <v>0</v>
      </c>
      <c r="P56" s="168" t="str">
        <f aca="false">IF(N56="","",N56+CHOOSE(MIN(O56,3)+1,3,7,21,45))</f>
        <v/>
      </c>
      <c r="Q56" s="166"/>
      <c r="R56" s="169"/>
    </row>
    <row r="57" customFormat="false" ht="23.85" hidden="false" customHeight="false" outlineLevel="0" collapsed="false">
      <c r="A57" s="23" t="n">
        <v>56</v>
      </c>
      <c r="B57" s="23" t="s">
        <v>25</v>
      </c>
      <c r="C57" s="29" t="s">
        <v>22</v>
      </c>
      <c r="D57" s="63" t="s">
        <v>135</v>
      </c>
      <c r="E57" s="63" t="s">
        <v>142</v>
      </c>
      <c r="F57" s="23" t="n">
        <v>930</v>
      </c>
      <c r="G57" s="161" t="s">
        <v>766</v>
      </c>
      <c r="H57" s="170" t="s">
        <v>9</v>
      </c>
      <c r="I57" s="171" t="s">
        <v>653</v>
      </c>
      <c r="J57" s="172" t="s">
        <v>654</v>
      </c>
      <c r="K57" s="23"/>
      <c r="L57" s="165" t="s">
        <v>767</v>
      </c>
      <c r="M57" s="166" t="s">
        <v>656</v>
      </c>
      <c r="N57" s="167"/>
      <c r="O57" s="166" t="n">
        <v>0</v>
      </c>
      <c r="P57" s="168" t="str">
        <f aca="false">IF(N57="","",N57+CHOOSE(MIN(O57,3)+1,3,7,21,45))</f>
        <v/>
      </c>
      <c r="Q57" s="166"/>
      <c r="R57" s="169"/>
    </row>
    <row r="58" customFormat="false" ht="23.85" hidden="false" customHeight="false" outlineLevel="0" collapsed="false">
      <c r="A58" s="23" t="n">
        <v>57</v>
      </c>
      <c r="B58" s="23" t="s">
        <v>25</v>
      </c>
      <c r="C58" s="29" t="s">
        <v>22</v>
      </c>
      <c r="D58" s="63" t="s">
        <v>135</v>
      </c>
      <c r="E58" s="63" t="s">
        <v>142</v>
      </c>
      <c r="F58" s="23" t="n">
        <v>1248</v>
      </c>
      <c r="G58" s="161" t="s">
        <v>768</v>
      </c>
      <c r="H58" s="170" t="s">
        <v>9</v>
      </c>
      <c r="I58" s="171" t="s">
        <v>653</v>
      </c>
      <c r="J58" s="172" t="s">
        <v>654</v>
      </c>
      <c r="K58" s="23"/>
      <c r="L58" s="165" t="s">
        <v>769</v>
      </c>
      <c r="M58" s="166" t="s">
        <v>656</v>
      </c>
      <c r="N58" s="167"/>
      <c r="O58" s="166" t="n">
        <v>0</v>
      </c>
      <c r="P58" s="168" t="str">
        <f aca="false">IF(N58="","",N58+CHOOSE(MIN(O58,3)+1,3,7,21,45))</f>
        <v/>
      </c>
      <c r="Q58" s="166"/>
      <c r="R58" s="169"/>
    </row>
    <row r="59" customFormat="false" ht="23.85" hidden="false" customHeight="false" outlineLevel="0" collapsed="false">
      <c r="A59" s="23" t="n">
        <v>58</v>
      </c>
      <c r="B59" s="23" t="s">
        <v>25</v>
      </c>
      <c r="C59" s="29" t="s">
        <v>22</v>
      </c>
      <c r="D59" s="63" t="s">
        <v>135</v>
      </c>
      <c r="E59" s="63" t="s">
        <v>142</v>
      </c>
      <c r="F59" s="23" t="n">
        <v>1358</v>
      </c>
      <c r="G59" s="161" t="s">
        <v>770</v>
      </c>
      <c r="H59" s="170" t="s">
        <v>9</v>
      </c>
      <c r="I59" s="171" t="s">
        <v>653</v>
      </c>
      <c r="J59" s="172" t="s">
        <v>654</v>
      </c>
      <c r="K59" s="23"/>
      <c r="L59" s="165" t="s">
        <v>771</v>
      </c>
      <c r="M59" s="166" t="s">
        <v>656</v>
      </c>
      <c r="N59" s="167"/>
      <c r="O59" s="166" t="n">
        <v>0</v>
      </c>
      <c r="P59" s="168" t="str">
        <f aca="false">IF(N59="","",N59+CHOOSE(MIN(O59,3)+1,3,7,21,45))</f>
        <v/>
      </c>
      <c r="Q59" s="166"/>
      <c r="R59" s="169"/>
    </row>
    <row r="60" customFormat="false" ht="23.85" hidden="false" customHeight="false" outlineLevel="0" collapsed="false">
      <c r="A60" s="23" t="n">
        <v>59</v>
      </c>
      <c r="B60" s="23" t="s">
        <v>25</v>
      </c>
      <c r="C60" s="29" t="s">
        <v>22</v>
      </c>
      <c r="D60" s="63" t="s">
        <v>135</v>
      </c>
      <c r="E60" s="63" t="s">
        <v>142</v>
      </c>
      <c r="F60" s="23" t="n">
        <v>340</v>
      </c>
      <c r="G60" s="161" t="s">
        <v>772</v>
      </c>
      <c r="H60" s="170" t="s">
        <v>9</v>
      </c>
      <c r="I60" s="171" t="s">
        <v>653</v>
      </c>
      <c r="J60" s="172" t="s">
        <v>654</v>
      </c>
      <c r="K60" s="23" t="s">
        <v>672</v>
      </c>
      <c r="L60" s="165" t="s">
        <v>773</v>
      </c>
      <c r="M60" s="166" t="s">
        <v>656</v>
      </c>
      <c r="N60" s="167"/>
      <c r="O60" s="166" t="n">
        <v>0</v>
      </c>
      <c r="P60" s="168" t="str">
        <f aca="false">IF(N60="","",N60+CHOOSE(MIN(O60,3)+1,3,7,21,45))</f>
        <v/>
      </c>
      <c r="Q60" s="166"/>
      <c r="R60" s="169"/>
    </row>
    <row r="61" customFormat="false" ht="23.85" hidden="false" customHeight="false" outlineLevel="0" collapsed="false">
      <c r="A61" s="23" t="n">
        <v>60</v>
      </c>
      <c r="B61" s="23" t="s">
        <v>25</v>
      </c>
      <c r="C61" s="29" t="s">
        <v>22</v>
      </c>
      <c r="D61" s="63" t="s">
        <v>135</v>
      </c>
      <c r="E61" s="63" t="s">
        <v>142</v>
      </c>
      <c r="F61" s="23" t="n">
        <v>992</v>
      </c>
      <c r="G61" s="161" t="s">
        <v>774</v>
      </c>
      <c r="H61" s="175" t="s">
        <v>11</v>
      </c>
      <c r="I61" s="176" t="s">
        <v>15</v>
      </c>
      <c r="J61" s="174" t="s">
        <v>669</v>
      </c>
      <c r="K61" s="23"/>
      <c r="L61" s="165" t="s">
        <v>775</v>
      </c>
      <c r="M61" s="166" t="s">
        <v>656</v>
      </c>
      <c r="N61" s="167"/>
      <c r="O61" s="166" t="n">
        <v>0</v>
      </c>
      <c r="P61" s="168" t="str">
        <f aca="false">IF(N61="","",N61+CHOOSE(MIN(O61,3)+1,3,7,21,45))</f>
        <v/>
      </c>
      <c r="Q61" s="166"/>
      <c r="R61" s="169"/>
    </row>
    <row r="62" customFormat="false" ht="23.85" hidden="false" customHeight="false" outlineLevel="0" collapsed="false">
      <c r="A62" s="23" t="n">
        <v>61</v>
      </c>
      <c r="B62" s="23" t="s">
        <v>25</v>
      </c>
      <c r="C62" s="29" t="s">
        <v>22</v>
      </c>
      <c r="D62" s="63" t="s">
        <v>135</v>
      </c>
      <c r="E62" s="63" t="s">
        <v>142</v>
      </c>
      <c r="F62" s="23" t="n">
        <v>2302</v>
      </c>
      <c r="G62" s="161" t="s">
        <v>776</v>
      </c>
      <c r="H62" s="175" t="s">
        <v>11</v>
      </c>
      <c r="I62" s="171" t="s">
        <v>653</v>
      </c>
      <c r="J62" s="172" t="s">
        <v>654</v>
      </c>
      <c r="K62" s="23"/>
      <c r="L62" s="165" t="s">
        <v>777</v>
      </c>
      <c r="M62" s="166" t="s">
        <v>656</v>
      </c>
      <c r="N62" s="167"/>
      <c r="O62" s="166" t="n">
        <v>0</v>
      </c>
      <c r="P62" s="168" t="str">
        <f aca="false">IF(N62="","",N62+CHOOSE(MIN(O62,3)+1,3,7,21,45))</f>
        <v/>
      </c>
      <c r="Q62" s="166"/>
      <c r="R62" s="169"/>
    </row>
    <row r="63" customFormat="false" ht="15" hidden="false" customHeight="false" outlineLevel="0" collapsed="false">
      <c r="A63" s="23" t="n">
        <v>62</v>
      </c>
      <c r="B63" s="23" t="s">
        <v>25</v>
      </c>
      <c r="C63" s="29" t="s">
        <v>22</v>
      </c>
      <c r="D63" s="63" t="s">
        <v>135</v>
      </c>
      <c r="E63" s="63" t="s">
        <v>145</v>
      </c>
      <c r="F63" s="23" t="n">
        <v>1438</v>
      </c>
      <c r="G63" s="161" t="s">
        <v>778</v>
      </c>
      <c r="H63" s="170" t="s">
        <v>9</v>
      </c>
      <c r="I63" s="171" t="s">
        <v>653</v>
      </c>
      <c r="J63" s="172" t="s">
        <v>654</v>
      </c>
      <c r="K63" s="23"/>
      <c r="L63" s="165" t="s">
        <v>779</v>
      </c>
      <c r="M63" s="166" t="s">
        <v>656</v>
      </c>
      <c r="N63" s="167"/>
      <c r="O63" s="166" t="n">
        <v>0</v>
      </c>
      <c r="P63" s="168" t="str">
        <f aca="false">IF(N63="","",N63+CHOOSE(MIN(O63,3)+1,3,7,21,45))</f>
        <v/>
      </c>
      <c r="Q63" s="166"/>
      <c r="R63" s="169"/>
    </row>
    <row r="64" customFormat="false" ht="15" hidden="false" customHeight="false" outlineLevel="0" collapsed="false">
      <c r="A64" s="23" t="n">
        <v>63</v>
      </c>
      <c r="B64" s="23" t="s">
        <v>25</v>
      </c>
      <c r="C64" s="29" t="s">
        <v>22</v>
      </c>
      <c r="D64" s="63" t="s">
        <v>135</v>
      </c>
      <c r="E64" s="63" t="s">
        <v>145</v>
      </c>
      <c r="F64" s="23" t="n">
        <v>1696</v>
      </c>
      <c r="G64" s="161" t="s">
        <v>780</v>
      </c>
      <c r="H64" s="170" t="s">
        <v>9</v>
      </c>
      <c r="I64" s="171" t="s">
        <v>653</v>
      </c>
      <c r="J64" s="172" t="s">
        <v>654</v>
      </c>
      <c r="K64" s="23"/>
      <c r="L64" s="165" t="s">
        <v>781</v>
      </c>
      <c r="M64" s="166" t="s">
        <v>656</v>
      </c>
      <c r="N64" s="167"/>
      <c r="O64" s="166" t="n">
        <v>0</v>
      </c>
      <c r="P64" s="168" t="str">
        <f aca="false">IF(N64="","",N64+CHOOSE(MIN(O64,3)+1,3,7,21,45))</f>
        <v/>
      </c>
      <c r="Q64" s="166"/>
      <c r="R64" s="169"/>
    </row>
    <row r="65" customFormat="false" ht="15" hidden="false" customHeight="false" outlineLevel="0" collapsed="false">
      <c r="A65" s="23" t="n">
        <v>64</v>
      </c>
      <c r="B65" s="23" t="s">
        <v>25</v>
      </c>
      <c r="C65" s="29" t="s">
        <v>22</v>
      </c>
      <c r="D65" s="63" t="s">
        <v>135</v>
      </c>
      <c r="E65" s="63" t="s">
        <v>145</v>
      </c>
      <c r="F65" s="23" t="n">
        <v>239</v>
      </c>
      <c r="G65" s="161" t="s">
        <v>782</v>
      </c>
      <c r="H65" s="175" t="s">
        <v>11</v>
      </c>
      <c r="I65" s="173" t="s">
        <v>668</v>
      </c>
      <c r="J65" s="174" t="s">
        <v>669</v>
      </c>
      <c r="K65" s="23"/>
      <c r="L65" s="165" t="s">
        <v>783</v>
      </c>
      <c r="M65" s="166" t="s">
        <v>656</v>
      </c>
      <c r="N65" s="167"/>
      <c r="O65" s="166" t="n">
        <v>0</v>
      </c>
      <c r="P65" s="168" t="str">
        <f aca="false">IF(N65="","",N65+CHOOSE(MIN(O65,3)+1,3,7,21,45))</f>
        <v/>
      </c>
      <c r="Q65" s="166"/>
      <c r="R65" s="169"/>
    </row>
    <row r="66" customFormat="false" ht="15" hidden="false" customHeight="false" outlineLevel="0" collapsed="false">
      <c r="A66" s="23" t="n">
        <v>65</v>
      </c>
      <c r="B66" s="23" t="s">
        <v>25</v>
      </c>
      <c r="C66" s="29" t="s">
        <v>22</v>
      </c>
      <c r="D66" s="63" t="s">
        <v>135</v>
      </c>
      <c r="E66" s="63" t="s">
        <v>145</v>
      </c>
      <c r="F66" s="23" t="n">
        <v>862</v>
      </c>
      <c r="G66" s="161" t="s">
        <v>784</v>
      </c>
      <c r="H66" s="175" t="s">
        <v>11</v>
      </c>
      <c r="I66" s="171" t="s">
        <v>653</v>
      </c>
      <c r="J66" s="172" t="s">
        <v>654</v>
      </c>
      <c r="K66" s="23"/>
      <c r="L66" s="165" t="s">
        <v>785</v>
      </c>
      <c r="M66" s="166" t="s">
        <v>656</v>
      </c>
      <c r="N66" s="167"/>
      <c r="O66" s="166" t="n">
        <v>0</v>
      </c>
      <c r="P66" s="168" t="str">
        <f aca="false">IF(N66="","",N66+CHOOSE(MIN(O66,3)+1,3,7,21,45))</f>
        <v/>
      </c>
      <c r="Q66" s="166"/>
      <c r="R66" s="169"/>
    </row>
    <row r="67" customFormat="false" ht="15" hidden="false" customHeight="false" outlineLevel="0" collapsed="false">
      <c r="A67" s="23" t="n">
        <v>66</v>
      </c>
      <c r="B67" s="23" t="s">
        <v>25</v>
      </c>
      <c r="C67" s="29" t="s">
        <v>22</v>
      </c>
      <c r="D67" s="63" t="s">
        <v>135</v>
      </c>
      <c r="E67" s="63" t="s">
        <v>145</v>
      </c>
      <c r="F67" s="23" t="n">
        <v>1499</v>
      </c>
      <c r="G67" s="161" t="s">
        <v>786</v>
      </c>
      <c r="H67" s="175" t="s">
        <v>11</v>
      </c>
      <c r="I67" s="171" t="s">
        <v>653</v>
      </c>
      <c r="J67" s="172" t="s">
        <v>654</v>
      </c>
      <c r="K67" s="23"/>
      <c r="L67" s="165" t="s">
        <v>787</v>
      </c>
      <c r="M67" s="166" t="s">
        <v>656</v>
      </c>
      <c r="N67" s="167"/>
      <c r="O67" s="166" t="n">
        <v>0</v>
      </c>
      <c r="P67" s="168" t="str">
        <f aca="false">IF(N67="","",N67+CHOOSE(MIN(O67,3)+1,3,7,21,45))</f>
        <v/>
      </c>
      <c r="Q67" s="166"/>
      <c r="R67" s="169"/>
    </row>
    <row r="68" customFormat="false" ht="15" hidden="false" customHeight="false" outlineLevel="0" collapsed="false">
      <c r="A68" s="23" t="n">
        <v>67</v>
      </c>
      <c r="B68" s="23" t="s">
        <v>25</v>
      </c>
      <c r="C68" s="29" t="s">
        <v>22</v>
      </c>
      <c r="D68" s="63" t="s">
        <v>148</v>
      </c>
      <c r="E68" s="63" t="s">
        <v>149</v>
      </c>
      <c r="F68" s="23" t="n">
        <v>1480</v>
      </c>
      <c r="G68" s="161" t="s">
        <v>788</v>
      </c>
      <c r="H68" s="162" t="s">
        <v>7</v>
      </c>
      <c r="I68" s="171" t="s">
        <v>653</v>
      </c>
      <c r="J68" s="172" t="s">
        <v>654</v>
      </c>
      <c r="K68" s="23"/>
      <c r="L68" s="165" t="s">
        <v>789</v>
      </c>
      <c r="M68" s="166" t="s">
        <v>656</v>
      </c>
      <c r="N68" s="167"/>
      <c r="O68" s="166" t="n">
        <v>0</v>
      </c>
      <c r="P68" s="168" t="str">
        <f aca="false">IF(N68="","",N68+CHOOSE(MIN(O68,3)+1,3,7,21,45))</f>
        <v/>
      </c>
      <c r="Q68" s="166"/>
      <c r="R68" s="169"/>
    </row>
    <row r="69" customFormat="false" ht="15" hidden="false" customHeight="false" outlineLevel="0" collapsed="false">
      <c r="A69" s="23" t="n">
        <v>68</v>
      </c>
      <c r="B69" s="23" t="s">
        <v>25</v>
      </c>
      <c r="C69" s="29" t="s">
        <v>22</v>
      </c>
      <c r="D69" s="63" t="s">
        <v>148</v>
      </c>
      <c r="E69" s="63" t="s">
        <v>149</v>
      </c>
      <c r="F69" s="23" t="n">
        <v>303</v>
      </c>
      <c r="G69" s="161" t="s">
        <v>790</v>
      </c>
      <c r="H69" s="162" t="s">
        <v>7</v>
      </c>
      <c r="I69" s="171" t="s">
        <v>653</v>
      </c>
      <c r="J69" s="172" t="s">
        <v>654</v>
      </c>
      <c r="K69" s="23"/>
      <c r="L69" s="165" t="s">
        <v>791</v>
      </c>
      <c r="M69" s="166" t="s">
        <v>656</v>
      </c>
      <c r="N69" s="167"/>
      <c r="O69" s="166" t="n">
        <v>0</v>
      </c>
      <c r="P69" s="168" t="str">
        <f aca="false">IF(N69="","",N69+CHOOSE(MIN(O69,3)+1,3,7,21,45))</f>
        <v/>
      </c>
      <c r="Q69" s="166"/>
      <c r="R69" s="169"/>
    </row>
    <row r="70" customFormat="false" ht="15" hidden="false" customHeight="false" outlineLevel="0" collapsed="false">
      <c r="A70" s="23" t="n">
        <v>69</v>
      </c>
      <c r="B70" s="23" t="s">
        <v>25</v>
      </c>
      <c r="C70" s="29" t="s">
        <v>22</v>
      </c>
      <c r="D70" s="63" t="s">
        <v>148</v>
      </c>
      <c r="E70" s="63" t="s">
        <v>149</v>
      </c>
      <c r="F70" s="23" t="n">
        <v>724</v>
      </c>
      <c r="G70" s="161" t="s">
        <v>792</v>
      </c>
      <c r="H70" s="162" t="s">
        <v>7</v>
      </c>
      <c r="I70" s="176" t="s">
        <v>15</v>
      </c>
      <c r="J70" s="174" t="s">
        <v>669</v>
      </c>
      <c r="K70" s="23"/>
      <c r="L70" s="165" t="s">
        <v>793</v>
      </c>
      <c r="M70" s="166" t="s">
        <v>656</v>
      </c>
      <c r="N70" s="167"/>
      <c r="O70" s="166" t="n">
        <v>0</v>
      </c>
      <c r="P70" s="168" t="str">
        <f aca="false">IF(N70="","",N70+CHOOSE(MIN(O70,3)+1,3,7,21,45))</f>
        <v/>
      </c>
      <c r="Q70" s="166"/>
      <c r="R70" s="169"/>
    </row>
    <row r="71" customFormat="false" ht="15" hidden="false" customHeight="false" outlineLevel="0" collapsed="false">
      <c r="A71" s="23" t="n">
        <v>70</v>
      </c>
      <c r="B71" s="23" t="s">
        <v>25</v>
      </c>
      <c r="C71" s="29" t="s">
        <v>22</v>
      </c>
      <c r="D71" s="63" t="s">
        <v>148</v>
      </c>
      <c r="E71" s="63" t="s">
        <v>153</v>
      </c>
      <c r="F71" s="23" t="n">
        <v>560</v>
      </c>
      <c r="G71" s="161" t="s">
        <v>794</v>
      </c>
      <c r="H71" s="170" t="s">
        <v>9</v>
      </c>
      <c r="I71" s="176" t="s">
        <v>15</v>
      </c>
      <c r="J71" s="174" t="s">
        <v>669</v>
      </c>
      <c r="K71" s="23"/>
      <c r="L71" s="165" t="s">
        <v>795</v>
      </c>
      <c r="M71" s="166" t="s">
        <v>656</v>
      </c>
      <c r="N71" s="167"/>
      <c r="O71" s="166" t="n">
        <v>0</v>
      </c>
      <c r="P71" s="168" t="str">
        <f aca="false">IF(N71="","",N71+CHOOSE(MIN(O71,3)+1,3,7,21,45))</f>
        <v/>
      </c>
      <c r="Q71" s="166"/>
      <c r="R71" s="169"/>
    </row>
    <row r="72" customFormat="false" ht="15" hidden="false" customHeight="false" outlineLevel="0" collapsed="false">
      <c r="A72" s="23" t="n">
        <v>71</v>
      </c>
      <c r="B72" s="23" t="s">
        <v>25</v>
      </c>
      <c r="C72" s="29" t="s">
        <v>22</v>
      </c>
      <c r="D72" s="63" t="s">
        <v>148</v>
      </c>
      <c r="E72" s="63" t="s">
        <v>153</v>
      </c>
      <c r="F72" s="23" t="n">
        <v>974</v>
      </c>
      <c r="G72" s="161" t="s">
        <v>796</v>
      </c>
      <c r="H72" s="170" t="s">
        <v>9</v>
      </c>
      <c r="I72" s="171" t="s">
        <v>653</v>
      </c>
      <c r="J72" s="172" t="s">
        <v>654</v>
      </c>
      <c r="K72" s="23"/>
      <c r="L72" s="165" t="s">
        <v>797</v>
      </c>
      <c r="M72" s="166" t="s">
        <v>656</v>
      </c>
      <c r="N72" s="167"/>
      <c r="O72" s="166" t="n">
        <v>0</v>
      </c>
      <c r="P72" s="168" t="str">
        <f aca="false">IF(N72="","",N72+CHOOSE(MIN(O72,3)+1,3,7,21,45))</f>
        <v/>
      </c>
      <c r="Q72" s="166"/>
      <c r="R72" s="169"/>
    </row>
    <row r="73" customFormat="false" ht="15" hidden="false" customHeight="false" outlineLevel="0" collapsed="false">
      <c r="A73" s="23" t="n">
        <v>72</v>
      </c>
      <c r="B73" s="23" t="s">
        <v>25</v>
      </c>
      <c r="C73" s="29" t="s">
        <v>22</v>
      </c>
      <c r="D73" s="63" t="s">
        <v>148</v>
      </c>
      <c r="E73" s="63" t="s">
        <v>153</v>
      </c>
      <c r="F73" s="23" t="n">
        <v>523</v>
      </c>
      <c r="G73" s="161" t="s">
        <v>798</v>
      </c>
      <c r="H73" s="170" t="s">
        <v>9</v>
      </c>
      <c r="I73" s="171" t="s">
        <v>653</v>
      </c>
      <c r="J73" s="172" t="s">
        <v>654</v>
      </c>
      <c r="K73" s="23"/>
      <c r="L73" s="165" t="s">
        <v>799</v>
      </c>
      <c r="M73" s="166" t="s">
        <v>656</v>
      </c>
      <c r="N73" s="167"/>
      <c r="O73" s="166" t="n">
        <v>0</v>
      </c>
      <c r="P73" s="168" t="str">
        <f aca="false">IF(N73="","",N73+CHOOSE(MIN(O73,3)+1,3,7,21,45))</f>
        <v/>
      </c>
      <c r="Q73" s="166"/>
      <c r="R73" s="169"/>
    </row>
    <row r="74" customFormat="false" ht="15" hidden="false" customHeight="false" outlineLevel="0" collapsed="false">
      <c r="A74" s="23" t="n">
        <v>73</v>
      </c>
      <c r="B74" s="23" t="s">
        <v>25</v>
      </c>
      <c r="C74" s="29" t="s">
        <v>22</v>
      </c>
      <c r="D74" s="63" t="s">
        <v>148</v>
      </c>
      <c r="E74" s="63" t="s">
        <v>153</v>
      </c>
      <c r="F74" s="23" t="n">
        <v>525</v>
      </c>
      <c r="G74" s="161" t="s">
        <v>800</v>
      </c>
      <c r="H74" s="170" t="s">
        <v>9</v>
      </c>
      <c r="I74" s="171" t="s">
        <v>653</v>
      </c>
      <c r="J74" s="172" t="s">
        <v>654</v>
      </c>
      <c r="K74" s="23"/>
      <c r="L74" s="165" t="s">
        <v>801</v>
      </c>
      <c r="M74" s="166" t="s">
        <v>656</v>
      </c>
      <c r="N74" s="167"/>
      <c r="O74" s="166" t="n">
        <v>0</v>
      </c>
      <c r="P74" s="168" t="str">
        <f aca="false">IF(N74="","",N74+CHOOSE(MIN(O74,3)+1,3,7,21,45))</f>
        <v/>
      </c>
      <c r="Q74" s="166"/>
      <c r="R74" s="169"/>
    </row>
    <row r="75" customFormat="false" ht="15" hidden="false" customHeight="false" outlineLevel="0" collapsed="false">
      <c r="A75" s="23" t="n">
        <v>74</v>
      </c>
      <c r="B75" s="23" t="s">
        <v>25</v>
      </c>
      <c r="C75" s="29" t="s">
        <v>22</v>
      </c>
      <c r="D75" s="63" t="s">
        <v>148</v>
      </c>
      <c r="E75" s="63" t="s">
        <v>153</v>
      </c>
      <c r="F75" s="23" t="n">
        <v>1074</v>
      </c>
      <c r="G75" s="161" t="s">
        <v>802</v>
      </c>
      <c r="H75" s="175" t="s">
        <v>11</v>
      </c>
      <c r="I75" s="171" t="s">
        <v>653</v>
      </c>
      <c r="J75" s="172" t="s">
        <v>654</v>
      </c>
      <c r="K75" s="23"/>
      <c r="L75" s="165" t="s">
        <v>803</v>
      </c>
      <c r="M75" s="166" t="s">
        <v>656</v>
      </c>
      <c r="N75" s="167"/>
      <c r="O75" s="166" t="n">
        <v>0</v>
      </c>
      <c r="P75" s="168" t="str">
        <f aca="false">IF(N75="","",N75+CHOOSE(MIN(O75,3)+1,3,7,21,45))</f>
        <v/>
      </c>
      <c r="Q75" s="166"/>
      <c r="R75" s="169"/>
    </row>
    <row r="76" customFormat="false" ht="15" hidden="false" customHeight="false" outlineLevel="0" collapsed="false">
      <c r="A76" s="23" t="n">
        <v>75</v>
      </c>
      <c r="B76" s="23" t="s">
        <v>25</v>
      </c>
      <c r="C76" s="29" t="s">
        <v>22</v>
      </c>
      <c r="D76" s="63" t="s">
        <v>148</v>
      </c>
      <c r="E76" s="63" t="s">
        <v>156</v>
      </c>
      <c r="F76" s="23" t="n">
        <v>304</v>
      </c>
      <c r="G76" s="161" t="s">
        <v>804</v>
      </c>
      <c r="H76" s="170" t="s">
        <v>9</v>
      </c>
      <c r="I76" s="171" t="s">
        <v>653</v>
      </c>
      <c r="J76" s="172" t="s">
        <v>654</v>
      </c>
      <c r="K76" s="23"/>
      <c r="L76" s="165" t="s">
        <v>805</v>
      </c>
      <c r="M76" s="166" t="s">
        <v>656</v>
      </c>
      <c r="N76" s="167"/>
      <c r="O76" s="166" t="n">
        <v>0</v>
      </c>
      <c r="P76" s="168" t="str">
        <f aca="false">IF(N76="","",N76+CHOOSE(MIN(O76,3)+1,3,7,21,45))</f>
        <v/>
      </c>
      <c r="Q76" s="166"/>
      <c r="R76" s="169"/>
    </row>
    <row r="77" customFormat="false" ht="15" hidden="false" customHeight="false" outlineLevel="0" collapsed="false">
      <c r="A77" s="23" t="n">
        <v>76</v>
      </c>
      <c r="B77" s="23" t="s">
        <v>25</v>
      </c>
      <c r="C77" s="29" t="s">
        <v>22</v>
      </c>
      <c r="D77" s="63" t="s">
        <v>148</v>
      </c>
      <c r="E77" s="63" t="s">
        <v>156</v>
      </c>
      <c r="F77" s="23" t="n">
        <v>1314</v>
      </c>
      <c r="G77" s="161" t="s">
        <v>806</v>
      </c>
      <c r="H77" s="170" t="s">
        <v>9</v>
      </c>
      <c r="I77" s="171" t="s">
        <v>653</v>
      </c>
      <c r="J77" s="172" t="s">
        <v>654</v>
      </c>
      <c r="K77" s="23"/>
      <c r="L77" s="165" t="s">
        <v>807</v>
      </c>
      <c r="M77" s="166" t="s">
        <v>656</v>
      </c>
      <c r="N77" s="167"/>
      <c r="O77" s="166" t="n">
        <v>0</v>
      </c>
      <c r="P77" s="168" t="str">
        <f aca="false">IF(N77="","",N77+CHOOSE(MIN(O77,3)+1,3,7,21,45))</f>
        <v/>
      </c>
      <c r="Q77" s="166"/>
      <c r="R77" s="169"/>
    </row>
    <row r="78" customFormat="false" ht="15" hidden="false" customHeight="false" outlineLevel="0" collapsed="false">
      <c r="A78" s="23" t="n">
        <v>77</v>
      </c>
      <c r="B78" s="23" t="s">
        <v>25</v>
      </c>
      <c r="C78" s="29" t="s">
        <v>22</v>
      </c>
      <c r="D78" s="63" t="s">
        <v>148</v>
      </c>
      <c r="E78" s="63" t="s">
        <v>160</v>
      </c>
      <c r="F78" s="23" t="n">
        <v>1094</v>
      </c>
      <c r="G78" s="161" t="s">
        <v>808</v>
      </c>
      <c r="H78" s="170" t="s">
        <v>9</v>
      </c>
      <c r="I78" s="176" t="s">
        <v>15</v>
      </c>
      <c r="J78" s="174" t="s">
        <v>669</v>
      </c>
      <c r="K78" s="23"/>
      <c r="L78" s="165" t="s">
        <v>809</v>
      </c>
      <c r="M78" s="166" t="s">
        <v>656</v>
      </c>
      <c r="N78" s="167"/>
      <c r="O78" s="166" t="n">
        <v>0</v>
      </c>
      <c r="P78" s="168" t="str">
        <f aca="false">IF(N78="","",N78+CHOOSE(MIN(O78,3)+1,3,7,21,45))</f>
        <v/>
      </c>
      <c r="Q78" s="166"/>
      <c r="R78" s="169"/>
    </row>
    <row r="79" customFormat="false" ht="15" hidden="false" customHeight="false" outlineLevel="0" collapsed="false">
      <c r="A79" s="23" t="n">
        <v>78</v>
      </c>
      <c r="B79" s="23" t="s">
        <v>25</v>
      </c>
      <c r="C79" s="29" t="s">
        <v>22</v>
      </c>
      <c r="D79" s="63" t="s">
        <v>148</v>
      </c>
      <c r="E79" s="63" t="s">
        <v>160</v>
      </c>
      <c r="F79" s="23" t="n">
        <v>1109</v>
      </c>
      <c r="G79" s="161" t="s">
        <v>810</v>
      </c>
      <c r="H79" s="170" t="s">
        <v>9</v>
      </c>
      <c r="I79" s="171" t="s">
        <v>653</v>
      </c>
      <c r="J79" s="172" t="s">
        <v>654</v>
      </c>
      <c r="K79" s="23"/>
      <c r="L79" s="165" t="s">
        <v>811</v>
      </c>
      <c r="M79" s="166" t="s">
        <v>656</v>
      </c>
      <c r="N79" s="167"/>
      <c r="O79" s="166" t="n">
        <v>0</v>
      </c>
      <c r="P79" s="168" t="str">
        <f aca="false">IF(N79="","",N79+CHOOSE(MIN(O79,3)+1,3,7,21,45))</f>
        <v/>
      </c>
      <c r="Q79" s="166"/>
      <c r="R79" s="169"/>
    </row>
    <row r="80" customFormat="false" ht="15" hidden="false" customHeight="false" outlineLevel="0" collapsed="false">
      <c r="A80" s="23" t="n">
        <v>79</v>
      </c>
      <c r="B80" s="23" t="s">
        <v>25</v>
      </c>
      <c r="C80" s="29" t="s">
        <v>22</v>
      </c>
      <c r="D80" s="63" t="s">
        <v>148</v>
      </c>
      <c r="E80" s="63" t="s">
        <v>160</v>
      </c>
      <c r="F80" s="23" t="n">
        <v>2381</v>
      </c>
      <c r="G80" s="161" t="s">
        <v>812</v>
      </c>
      <c r="H80" s="170" t="s">
        <v>9</v>
      </c>
      <c r="I80" s="171" t="s">
        <v>653</v>
      </c>
      <c r="J80" s="172" t="s">
        <v>654</v>
      </c>
      <c r="K80" s="23"/>
      <c r="L80" s="165" t="s">
        <v>813</v>
      </c>
      <c r="M80" s="166" t="s">
        <v>656</v>
      </c>
      <c r="N80" s="167"/>
      <c r="O80" s="166" t="n">
        <v>0</v>
      </c>
      <c r="P80" s="168" t="str">
        <f aca="false">IF(N80="","",N80+CHOOSE(MIN(O80,3)+1,3,7,21,45))</f>
        <v/>
      </c>
      <c r="Q80" s="166"/>
      <c r="R80" s="169"/>
    </row>
    <row r="81" customFormat="false" ht="15" hidden="false" customHeight="false" outlineLevel="0" collapsed="false">
      <c r="A81" s="23" t="n">
        <v>80</v>
      </c>
      <c r="B81" s="23" t="s">
        <v>25</v>
      </c>
      <c r="C81" s="29" t="s">
        <v>22</v>
      </c>
      <c r="D81" s="63" t="s">
        <v>148</v>
      </c>
      <c r="E81" s="63" t="s">
        <v>164</v>
      </c>
      <c r="F81" s="23" t="n">
        <v>238</v>
      </c>
      <c r="G81" s="161" t="s">
        <v>814</v>
      </c>
      <c r="H81" s="170" t="s">
        <v>9</v>
      </c>
      <c r="I81" s="163" t="s">
        <v>13</v>
      </c>
      <c r="J81" s="164" t="s">
        <v>649</v>
      </c>
      <c r="K81" s="23"/>
      <c r="L81" s="165" t="s">
        <v>815</v>
      </c>
      <c r="M81" s="166" t="s">
        <v>656</v>
      </c>
      <c r="N81" s="167"/>
      <c r="O81" s="166" t="n">
        <v>0</v>
      </c>
      <c r="P81" s="168" t="str">
        <f aca="false">IF(N81="","",N81+CHOOSE(MIN(O81,3)+1,3,7,21,45))</f>
        <v/>
      </c>
      <c r="Q81" s="166"/>
      <c r="R81" s="169"/>
    </row>
    <row r="82" customFormat="false" ht="15" hidden="false" customHeight="false" outlineLevel="0" collapsed="false">
      <c r="A82" s="23" t="n">
        <v>81</v>
      </c>
      <c r="B82" s="23" t="s">
        <v>25</v>
      </c>
      <c r="C82" s="29" t="s">
        <v>22</v>
      </c>
      <c r="D82" s="63" t="s">
        <v>148</v>
      </c>
      <c r="E82" s="63" t="s">
        <v>164</v>
      </c>
      <c r="F82" s="23" t="n">
        <v>2483</v>
      </c>
      <c r="G82" s="161" t="s">
        <v>816</v>
      </c>
      <c r="H82" s="170" t="s">
        <v>9</v>
      </c>
      <c r="I82" s="171" t="s">
        <v>653</v>
      </c>
      <c r="J82" s="172" t="s">
        <v>654</v>
      </c>
      <c r="K82" s="23"/>
      <c r="L82" s="165" t="s">
        <v>817</v>
      </c>
      <c r="M82" s="166" t="s">
        <v>656</v>
      </c>
      <c r="N82" s="167"/>
      <c r="O82" s="166" t="n">
        <v>0</v>
      </c>
      <c r="P82" s="168" t="str">
        <f aca="false">IF(N82="","",N82+CHOOSE(MIN(O82,3)+1,3,7,21,45))</f>
        <v/>
      </c>
      <c r="Q82" s="166"/>
      <c r="R82" s="169"/>
    </row>
    <row r="83" customFormat="false" ht="15" hidden="false" customHeight="false" outlineLevel="0" collapsed="false">
      <c r="A83" s="23" t="n">
        <v>82</v>
      </c>
      <c r="B83" s="23" t="s">
        <v>25</v>
      </c>
      <c r="C83" s="29" t="s">
        <v>22</v>
      </c>
      <c r="D83" s="63" t="s">
        <v>167</v>
      </c>
      <c r="E83" s="63" t="s">
        <v>168</v>
      </c>
      <c r="F83" s="23" t="n">
        <v>121</v>
      </c>
      <c r="G83" s="161" t="s">
        <v>818</v>
      </c>
      <c r="H83" s="162" t="s">
        <v>7</v>
      </c>
      <c r="I83" s="163" t="s">
        <v>13</v>
      </c>
      <c r="J83" s="164" t="s">
        <v>649</v>
      </c>
      <c r="K83" s="23"/>
      <c r="L83" s="165" t="s">
        <v>819</v>
      </c>
      <c r="M83" s="166" t="s">
        <v>656</v>
      </c>
      <c r="N83" s="167"/>
      <c r="O83" s="166" t="n">
        <v>0</v>
      </c>
      <c r="P83" s="168" t="str">
        <f aca="false">IF(N83="","",N83+CHOOSE(MIN(O83,3)+1,3,7,21,45))</f>
        <v/>
      </c>
      <c r="Q83" s="166"/>
      <c r="R83" s="169"/>
    </row>
    <row r="84" customFormat="false" ht="15" hidden="false" customHeight="false" outlineLevel="0" collapsed="false">
      <c r="A84" s="23" t="n">
        <v>83</v>
      </c>
      <c r="B84" s="23" t="s">
        <v>25</v>
      </c>
      <c r="C84" s="29" t="s">
        <v>22</v>
      </c>
      <c r="D84" s="63" t="s">
        <v>167</v>
      </c>
      <c r="E84" s="63" t="s">
        <v>168</v>
      </c>
      <c r="F84" s="23" t="n">
        <v>53</v>
      </c>
      <c r="G84" s="161" t="s">
        <v>820</v>
      </c>
      <c r="H84" s="170" t="s">
        <v>9</v>
      </c>
      <c r="I84" s="163" t="s">
        <v>13</v>
      </c>
      <c r="J84" s="164" t="s">
        <v>649</v>
      </c>
      <c r="K84" s="23"/>
      <c r="L84" s="165" t="s">
        <v>821</v>
      </c>
      <c r="M84" s="166" t="s">
        <v>656</v>
      </c>
      <c r="N84" s="167"/>
      <c r="O84" s="166" t="n">
        <v>0</v>
      </c>
      <c r="P84" s="168" t="str">
        <f aca="false">IF(N84="","",N84+CHOOSE(MIN(O84,3)+1,3,7,21,45))</f>
        <v/>
      </c>
      <c r="Q84" s="166"/>
      <c r="R84" s="169"/>
    </row>
    <row r="85" customFormat="false" ht="15" hidden="false" customHeight="false" outlineLevel="0" collapsed="false">
      <c r="A85" s="23" t="n">
        <v>84</v>
      </c>
      <c r="B85" s="23" t="s">
        <v>25</v>
      </c>
      <c r="C85" s="29" t="s">
        <v>22</v>
      </c>
      <c r="D85" s="63" t="s">
        <v>167</v>
      </c>
      <c r="E85" s="63" t="s">
        <v>168</v>
      </c>
      <c r="F85" s="23" t="n">
        <v>1749</v>
      </c>
      <c r="G85" s="161" t="s">
        <v>822</v>
      </c>
      <c r="H85" s="170" t="s">
        <v>9</v>
      </c>
      <c r="I85" s="171" t="s">
        <v>653</v>
      </c>
      <c r="J85" s="172" t="s">
        <v>654</v>
      </c>
      <c r="K85" s="23"/>
      <c r="L85" s="165" t="s">
        <v>823</v>
      </c>
      <c r="M85" s="166" t="s">
        <v>656</v>
      </c>
      <c r="N85" s="167"/>
      <c r="O85" s="166" t="n">
        <v>0</v>
      </c>
      <c r="P85" s="168" t="str">
        <f aca="false">IF(N85="","",N85+CHOOSE(MIN(O85,3)+1,3,7,21,45))</f>
        <v/>
      </c>
      <c r="Q85" s="166"/>
      <c r="R85" s="169"/>
    </row>
    <row r="86" customFormat="false" ht="23.85" hidden="false" customHeight="false" outlineLevel="0" collapsed="false">
      <c r="A86" s="23" t="n">
        <v>85</v>
      </c>
      <c r="B86" s="23" t="s">
        <v>25</v>
      </c>
      <c r="C86" s="29" t="s">
        <v>22</v>
      </c>
      <c r="D86" s="63" t="s">
        <v>167</v>
      </c>
      <c r="E86" s="63" t="s">
        <v>171</v>
      </c>
      <c r="F86" s="23" t="n">
        <v>152</v>
      </c>
      <c r="G86" s="161" t="s">
        <v>824</v>
      </c>
      <c r="H86" s="170" t="s">
        <v>9</v>
      </c>
      <c r="I86" s="163" t="s">
        <v>13</v>
      </c>
      <c r="J86" s="164" t="s">
        <v>649</v>
      </c>
      <c r="K86" s="23"/>
      <c r="L86" s="165" t="s">
        <v>825</v>
      </c>
      <c r="M86" s="166" t="s">
        <v>656</v>
      </c>
      <c r="N86" s="167"/>
      <c r="O86" s="166" t="n">
        <v>0</v>
      </c>
      <c r="P86" s="168" t="str">
        <f aca="false">IF(N86="","",N86+CHOOSE(MIN(O86,3)+1,3,7,21,45))</f>
        <v/>
      </c>
      <c r="Q86" s="166"/>
      <c r="R86" s="169"/>
    </row>
    <row r="87" customFormat="false" ht="23.85" hidden="false" customHeight="false" outlineLevel="0" collapsed="false">
      <c r="A87" s="23" t="n">
        <v>86</v>
      </c>
      <c r="B87" s="23" t="s">
        <v>25</v>
      </c>
      <c r="C87" s="29" t="s">
        <v>22</v>
      </c>
      <c r="D87" s="63" t="s">
        <v>167</v>
      </c>
      <c r="E87" s="63" t="s">
        <v>171</v>
      </c>
      <c r="F87" s="23" t="n">
        <v>918</v>
      </c>
      <c r="G87" s="161" t="s">
        <v>826</v>
      </c>
      <c r="H87" s="170" t="s">
        <v>9</v>
      </c>
      <c r="I87" s="176" t="s">
        <v>15</v>
      </c>
      <c r="J87" s="174" t="s">
        <v>669</v>
      </c>
      <c r="K87" s="23"/>
      <c r="L87" s="165" t="s">
        <v>827</v>
      </c>
      <c r="M87" s="166" t="s">
        <v>656</v>
      </c>
      <c r="N87" s="167"/>
      <c r="O87" s="166" t="n">
        <v>0</v>
      </c>
      <c r="P87" s="168" t="str">
        <f aca="false">IF(N87="","",N87+CHOOSE(MIN(O87,3)+1,3,7,21,45))</f>
        <v/>
      </c>
      <c r="Q87" s="166"/>
      <c r="R87" s="169"/>
    </row>
    <row r="88" customFormat="false" ht="23.85" hidden="false" customHeight="false" outlineLevel="0" collapsed="false">
      <c r="A88" s="23" t="n">
        <v>87</v>
      </c>
      <c r="B88" s="23" t="s">
        <v>25</v>
      </c>
      <c r="C88" s="29" t="s">
        <v>22</v>
      </c>
      <c r="D88" s="63" t="s">
        <v>167</v>
      </c>
      <c r="E88" s="63" t="s">
        <v>171</v>
      </c>
      <c r="F88" s="23" t="n">
        <v>1186</v>
      </c>
      <c r="G88" s="161" t="s">
        <v>828</v>
      </c>
      <c r="H88" s="170" t="s">
        <v>9</v>
      </c>
      <c r="I88" s="171" t="s">
        <v>653</v>
      </c>
      <c r="J88" s="172" t="s">
        <v>654</v>
      </c>
      <c r="K88" s="23"/>
      <c r="L88" s="165" t="s">
        <v>829</v>
      </c>
      <c r="M88" s="166" t="s">
        <v>656</v>
      </c>
      <c r="N88" s="167"/>
      <c r="O88" s="166" t="n">
        <v>0</v>
      </c>
      <c r="P88" s="168" t="str">
        <f aca="false">IF(N88="","",N88+CHOOSE(MIN(O88,3)+1,3,7,21,45))</f>
        <v/>
      </c>
      <c r="Q88" s="166"/>
      <c r="R88" s="169"/>
    </row>
    <row r="89" customFormat="false" ht="15" hidden="false" customHeight="false" outlineLevel="0" collapsed="false">
      <c r="A89" s="23" t="n">
        <v>88</v>
      </c>
      <c r="B89" s="23" t="s">
        <v>25</v>
      </c>
      <c r="C89" s="30" t="s">
        <v>24</v>
      </c>
      <c r="D89" s="68" t="s">
        <v>175</v>
      </c>
      <c r="E89" s="68" t="s">
        <v>176</v>
      </c>
      <c r="F89" s="23" t="n">
        <v>680</v>
      </c>
      <c r="G89" s="161" t="s">
        <v>830</v>
      </c>
      <c r="H89" s="162" t="s">
        <v>7</v>
      </c>
      <c r="I89" s="176" t="s">
        <v>15</v>
      </c>
      <c r="J89" s="174" t="s">
        <v>669</v>
      </c>
      <c r="K89" s="23"/>
      <c r="L89" s="165" t="s">
        <v>831</v>
      </c>
      <c r="M89" s="166" t="s">
        <v>656</v>
      </c>
      <c r="N89" s="167"/>
      <c r="O89" s="166" t="n">
        <v>0</v>
      </c>
      <c r="P89" s="168" t="str">
        <f aca="false">IF(N89="","",N89+CHOOSE(MIN(O89,3)+1,3,7,21,45))</f>
        <v/>
      </c>
      <c r="Q89" s="166"/>
      <c r="R89" s="169"/>
    </row>
    <row r="90" customFormat="false" ht="15" hidden="false" customHeight="false" outlineLevel="0" collapsed="false">
      <c r="A90" s="23" t="n">
        <v>89</v>
      </c>
      <c r="B90" s="23" t="s">
        <v>25</v>
      </c>
      <c r="C90" s="30" t="s">
        <v>24</v>
      </c>
      <c r="D90" s="68" t="s">
        <v>175</v>
      </c>
      <c r="E90" s="68" t="s">
        <v>176</v>
      </c>
      <c r="F90" s="23" t="n">
        <v>9</v>
      </c>
      <c r="G90" s="161" t="s">
        <v>832</v>
      </c>
      <c r="H90" s="162" t="s">
        <v>7</v>
      </c>
      <c r="I90" s="171" t="s">
        <v>653</v>
      </c>
      <c r="J90" s="172" t="s">
        <v>654</v>
      </c>
      <c r="K90" s="23"/>
      <c r="L90" s="165" t="s">
        <v>833</v>
      </c>
      <c r="M90" s="166" t="s">
        <v>656</v>
      </c>
      <c r="N90" s="167"/>
      <c r="O90" s="166" t="n">
        <v>0</v>
      </c>
      <c r="P90" s="168" t="str">
        <f aca="false">IF(N90="","",N90+CHOOSE(MIN(O90,3)+1,3,7,21,45))</f>
        <v/>
      </c>
      <c r="Q90" s="166"/>
      <c r="R90" s="169"/>
    </row>
    <row r="91" customFormat="false" ht="15" hidden="false" customHeight="false" outlineLevel="0" collapsed="false">
      <c r="A91" s="23" t="n">
        <v>90</v>
      </c>
      <c r="B91" s="23" t="s">
        <v>25</v>
      </c>
      <c r="C91" s="30" t="s">
        <v>24</v>
      </c>
      <c r="D91" s="68" t="s">
        <v>175</v>
      </c>
      <c r="E91" s="68" t="s">
        <v>179</v>
      </c>
      <c r="F91" s="23" t="n">
        <v>5</v>
      </c>
      <c r="G91" s="161" t="s">
        <v>834</v>
      </c>
      <c r="H91" s="170" t="s">
        <v>9</v>
      </c>
      <c r="I91" s="163" t="s">
        <v>13</v>
      </c>
      <c r="J91" s="164" t="s">
        <v>649</v>
      </c>
      <c r="K91" s="23"/>
      <c r="L91" s="165" t="s">
        <v>835</v>
      </c>
      <c r="M91" s="166" t="s">
        <v>656</v>
      </c>
      <c r="N91" s="167"/>
      <c r="O91" s="166" t="n">
        <v>0</v>
      </c>
      <c r="P91" s="168" t="str">
        <f aca="false">IF(N91="","",N91+CHOOSE(MIN(O91,3)+1,3,7,21,45))</f>
        <v/>
      </c>
      <c r="Q91" s="166"/>
      <c r="R91" s="169"/>
    </row>
    <row r="92" customFormat="false" ht="15" hidden="false" customHeight="false" outlineLevel="0" collapsed="false">
      <c r="A92" s="23" t="n">
        <v>91</v>
      </c>
      <c r="B92" s="23" t="s">
        <v>25</v>
      </c>
      <c r="C92" s="30" t="s">
        <v>24</v>
      </c>
      <c r="D92" s="68" t="s">
        <v>175</v>
      </c>
      <c r="E92" s="68" t="s">
        <v>179</v>
      </c>
      <c r="F92" s="23" t="n">
        <v>647</v>
      </c>
      <c r="G92" s="161" t="s">
        <v>836</v>
      </c>
      <c r="H92" s="170" t="s">
        <v>9</v>
      </c>
      <c r="I92" s="163" t="s">
        <v>13</v>
      </c>
      <c r="J92" s="164" t="s">
        <v>649</v>
      </c>
      <c r="K92" s="23"/>
      <c r="L92" s="165" t="s">
        <v>837</v>
      </c>
      <c r="M92" s="166" t="s">
        <v>656</v>
      </c>
      <c r="N92" s="167"/>
      <c r="O92" s="166" t="n">
        <v>0</v>
      </c>
      <c r="P92" s="168" t="str">
        <f aca="false">IF(N92="","",N92+CHOOSE(MIN(O92,3)+1,3,7,21,45))</f>
        <v/>
      </c>
      <c r="Q92" s="166"/>
      <c r="R92" s="169"/>
    </row>
    <row r="93" customFormat="false" ht="15" hidden="false" customHeight="false" outlineLevel="0" collapsed="false">
      <c r="A93" s="23" t="n">
        <v>92</v>
      </c>
      <c r="B93" s="23" t="s">
        <v>25</v>
      </c>
      <c r="C93" s="30" t="s">
        <v>24</v>
      </c>
      <c r="D93" s="68" t="s">
        <v>175</v>
      </c>
      <c r="E93" s="68" t="s">
        <v>183</v>
      </c>
      <c r="F93" s="23" t="n">
        <v>409</v>
      </c>
      <c r="G93" s="161" t="s">
        <v>838</v>
      </c>
      <c r="H93" s="162" t="s">
        <v>7</v>
      </c>
      <c r="I93" s="171" t="s">
        <v>653</v>
      </c>
      <c r="J93" s="172" t="s">
        <v>654</v>
      </c>
      <c r="K93" s="23"/>
      <c r="L93" s="165" t="s">
        <v>839</v>
      </c>
      <c r="M93" s="166" t="s">
        <v>656</v>
      </c>
      <c r="N93" s="167"/>
      <c r="O93" s="166" t="n">
        <v>0</v>
      </c>
      <c r="P93" s="168" t="str">
        <f aca="false">IF(N93="","",N93+CHOOSE(MIN(O93,3)+1,3,7,21,45))</f>
        <v/>
      </c>
      <c r="Q93" s="166"/>
      <c r="R93" s="169"/>
    </row>
    <row r="94" customFormat="false" ht="15" hidden="false" customHeight="false" outlineLevel="0" collapsed="false">
      <c r="A94" s="23" t="n">
        <v>93</v>
      </c>
      <c r="B94" s="23" t="s">
        <v>25</v>
      </c>
      <c r="C94" s="30" t="s">
        <v>24</v>
      </c>
      <c r="D94" s="68" t="s">
        <v>175</v>
      </c>
      <c r="E94" s="68" t="s">
        <v>183</v>
      </c>
      <c r="F94" s="23" t="n">
        <v>214</v>
      </c>
      <c r="G94" s="161" t="s">
        <v>840</v>
      </c>
      <c r="H94" s="175" t="s">
        <v>11</v>
      </c>
      <c r="I94" s="171" t="s">
        <v>653</v>
      </c>
      <c r="J94" s="172" t="s">
        <v>654</v>
      </c>
      <c r="K94" s="23"/>
      <c r="L94" s="165" t="s">
        <v>841</v>
      </c>
      <c r="M94" s="166" t="s">
        <v>656</v>
      </c>
      <c r="N94" s="167"/>
      <c r="O94" s="166" t="n">
        <v>0</v>
      </c>
      <c r="P94" s="168" t="str">
        <f aca="false">IF(N94="","",N94+CHOOSE(MIN(O94,3)+1,3,7,21,45))</f>
        <v/>
      </c>
      <c r="Q94" s="166"/>
      <c r="R94" s="169"/>
    </row>
    <row r="95" customFormat="false" ht="15" hidden="false" customHeight="false" outlineLevel="0" collapsed="false">
      <c r="A95" s="23" t="n">
        <v>94</v>
      </c>
      <c r="B95" s="23" t="s">
        <v>25</v>
      </c>
      <c r="C95" s="30" t="s">
        <v>24</v>
      </c>
      <c r="D95" s="68" t="s">
        <v>175</v>
      </c>
      <c r="E95" s="68" t="s">
        <v>183</v>
      </c>
      <c r="F95" s="23" t="n">
        <v>336</v>
      </c>
      <c r="G95" s="161" t="s">
        <v>842</v>
      </c>
      <c r="H95" s="175" t="s">
        <v>11</v>
      </c>
      <c r="I95" s="171" t="s">
        <v>653</v>
      </c>
      <c r="J95" s="172" t="s">
        <v>654</v>
      </c>
      <c r="K95" s="23"/>
      <c r="L95" s="165" t="s">
        <v>843</v>
      </c>
      <c r="M95" s="166" t="s">
        <v>656</v>
      </c>
      <c r="N95" s="167"/>
      <c r="O95" s="166" t="n">
        <v>0</v>
      </c>
      <c r="P95" s="168" t="str">
        <f aca="false">IF(N95="","",N95+CHOOSE(MIN(O95,3)+1,3,7,21,45))</f>
        <v/>
      </c>
      <c r="Q95" s="166"/>
      <c r="R95" s="169"/>
    </row>
    <row r="96" customFormat="false" ht="15" hidden="false" customHeight="false" outlineLevel="0" collapsed="false">
      <c r="A96" s="23" t="n">
        <v>95</v>
      </c>
      <c r="B96" s="23" t="s">
        <v>25</v>
      </c>
      <c r="C96" s="30" t="s">
        <v>24</v>
      </c>
      <c r="D96" s="68" t="s">
        <v>186</v>
      </c>
      <c r="E96" s="68" t="s">
        <v>187</v>
      </c>
      <c r="F96" s="23" t="n">
        <v>242</v>
      </c>
      <c r="G96" s="161" t="s">
        <v>844</v>
      </c>
      <c r="H96" s="162" t="s">
        <v>7</v>
      </c>
      <c r="I96" s="163" t="s">
        <v>13</v>
      </c>
      <c r="J96" s="164" t="s">
        <v>649</v>
      </c>
      <c r="K96" s="23"/>
      <c r="L96" s="165" t="s">
        <v>845</v>
      </c>
      <c r="M96" s="166" t="s">
        <v>656</v>
      </c>
      <c r="N96" s="167"/>
      <c r="O96" s="166" t="n">
        <v>0</v>
      </c>
      <c r="P96" s="168" t="str">
        <f aca="false">IF(N96="","",N96+CHOOSE(MIN(O96,3)+1,3,7,21,45))</f>
        <v/>
      </c>
      <c r="Q96" s="166"/>
      <c r="R96" s="169"/>
    </row>
    <row r="97" customFormat="false" ht="15" hidden="false" customHeight="false" outlineLevel="0" collapsed="false">
      <c r="A97" s="23" t="n">
        <v>96</v>
      </c>
      <c r="B97" s="23" t="s">
        <v>25</v>
      </c>
      <c r="C97" s="30" t="s">
        <v>24</v>
      </c>
      <c r="D97" s="68" t="s">
        <v>186</v>
      </c>
      <c r="E97" s="68" t="s">
        <v>187</v>
      </c>
      <c r="F97" s="23" t="n">
        <v>383</v>
      </c>
      <c r="G97" s="161" t="s">
        <v>846</v>
      </c>
      <c r="H97" s="162" t="s">
        <v>7</v>
      </c>
      <c r="I97" s="171" t="s">
        <v>653</v>
      </c>
      <c r="J97" s="172" t="s">
        <v>654</v>
      </c>
      <c r="K97" s="23"/>
      <c r="L97" s="165" t="s">
        <v>847</v>
      </c>
      <c r="M97" s="166" t="s">
        <v>656</v>
      </c>
      <c r="N97" s="167"/>
      <c r="O97" s="166" t="n">
        <v>0</v>
      </c>
      <c r="P97" s="168" t="str">
        <f aca="false">IF(N97="","",N97+CHOOSE(MIN(O97,3)+1,3,7,21,45))</f>
        <v/>
      </c>
      <c r="Q97" s="166"/>
      <c r="R97" s="169"/>
    </row>
    <row r="98" customFormat="false" ht="15" hidden="false" customHeight="false" outlineLevel="0" collapsed="false">
      <c r="A98" s="23" t="n">
        <v>97</v>
      </c>
      <c r="B98" s="23" t="s">
        <v>25</v>
      </c>
      <c r="C98" s="30" t="s">
        <v>24</v>
      </c>
      <c r="D98" s="68" t="s">
        <v>186</v>
      </c>
      <c r="E98" s="68" t="s">
        <v>187</v>
      </c>
      <c r="F98" s="23" t="n">
        <v>387</v>
      </c>
      <c r="G98" s="161" t="s">
        <v>848</v>
      </c>
      <c r="H98" s="162" t="s">
        <v>7</v>
      </c>
      <c r="I98" s="171" t="s">
        <v>653</v>
      </c>
      <c r="J98" s="172" t="s">
        <v>654</v>
      </c>
      <c r="K98" s="23"/>
      <c r="L98" s="165" t="s">
        <v>849</v>
      </c>
      <c r="M98" s="166" t="s">
        <v>656</v>
      </c>
      <c r="N98" s="167"/>
      <c r="O98" s="166" t="n">
        <v>0</v>
      </c>
      <c r="P98" s="168" t="str">
        <f aca="false">IF(N98="","",N98+CHOOSE(MIN(O98,3)+1,3,7,21,45))</f>
        <v/>
      </c>
      <c r="Q98" s="166"/>
      <c r="R98" s="169"/>
    </row>
    <row r="99" customFormat="false" ht="15" hidden="false" customHeight="false" outlineLevel="0" collapsed="false">
      <c r="A99" s="23" t="n">
        <v>98</v>
      </c>
      <c r="B99" s="23" t="s">
        <v>25</v>
      </c>
      <c r="C99" s="30" t="s">
        <v>24</v>
      </c>
      <c r="D99" s="68" t="s">
        <v>186</v>
      </c>
      <c r="E99" s="68" t="s">
        <v>187</v>
      </c>
      <c r="F99" s="23" t="n">
        <v>49</v>
      </c>
      <c r="G99" s="161" t="s">
        <v>850</v>
      </c>
      <c r="H99" s="170" t="s">
        <v>9</v>
      </c>
      <c r="I99" s="163" t="s">
        <v>13</v>
      </c>
      <c r="J99" s="164" t="s">
        <v>649</v>
      </c>
      <c r="K99" s="23"/>
      <c r="L99" s="165" t="s">
        <v>851</v>
      </c>
      <c r="M99" s="166" t="s">
        <v>656</v>
      </c>
      <c r="N99" s="167"/>
      <c r="O99" s="166" t="n">
        <v>0</v>
      </c>
      <c r="P99" s="168" t="str">
        <f aca="false">IF(N99="","",N99+CHOOSE(MIN(O99,3)+1,3,7,21,45))</f>
        <v/>
      </c>
      <c r="Q99" s="166"/>
      <c r="R99" s="169"/>
    </row>
    <row r="100" customFormat="false" ht="15" hidden="false" customHeight="false" outlineLevel="0" collapsed="false">
      <c r="A100" s="23" t="n">
        <v>99</v>
      </c>
      <c r="B100" s="23" t="s">
        <v>25</v>
      </c>
      <c r="C100" s="30" t="s">
        <v>24</v>
      </c>
      <c r="D100" s="68" t="s">
        <v>186</v>
      </c>
      <c r="E100" s="68" t="s">
        <v>187</v>
      </c>
      <c r="F100" s="23" t="n">
        <v>1657</v>
      </c>
      <c r="G100" s="161" t="s">
        <v>852</v>
      </c>
      <c r="H100" s="170" t="s">
        <v>9</v>
      </c>
      <c r="I100" s="171" t="s">
        <v>653</v>
      </c>
      <c r="J100" s="172" t="s">
        <v>654</v>
      </c>
      <c r="K100" s="23"/>
      <c r="L100" s="165" t="s">
        <v>853</v>
      </c>
      <c r="M100" s="166" t="s">
        <v>656</v>
      </c>
      <c r="N100" s="167"/>
      <c r="O100" s="166" t="n">
        <v>0</v>
      </c>
      <c r="P100" s="168" t="str">
        <f aca="false">IF(N100="","",N100+CHOOSE(MIN(O100,3)+1,3,7,21,45))</f>
        <v/>
      </c>
      <c r="Q100" s="166"/>
      <c r="R100" s="169"/>
    </row>
    <row r="101" customFormat="false" ht="15" hidden="false" customHeight="false" outlineLevel="0" collapsed="false">
      <c r="A101" s="23" t="n">
        <v>100</v>
      </c>
      <c r="B101" s="23" t="s">
        <v>25</v>
      </c>
      <c r="C101" s="30" t="s">
        <v>24</v>
      </c>
      <c r="D101" s="68" t="s">
        <v>186</v>
      </c>
      <c r="E101" s="68" t="s">
        <v>187</v>
      </c>
      <c r="F101" s="23" t="n">
        <v>451</v>
      </c>
      <c r="G101" s="161" t="s">
        <v>854</v>
      </c>
      <c r="H101" s="170" t="s">
        <v>9</v>
      </c>
      <c r="I101" s="171" t="s">
        <v>653</v>
      </c>
      <c r="J101" s="172" t="s">
        <v>654</v>
      </c>
      <c r="K101" s="23"/>
      <c r="L101" s="165" t="s">
        <v>855</v>
      </c>
      <c r="M101" s="166" t="s">
        <v>656</v>
      </c>
      <c r="N101" s="167"/>
      <c r="O101" s="166" t="n">
        <v>0</v>
      </c>
      <c r="P101" s="168" t="str">
        <f aca="false">IF(N101="","",N101+CHOOSE(MIN(O101,3)+1,3,7,21,45))</f>
        <v/>
      </c>
      <c r="Q101" s="166"/>
      <c r="R101" s="169"/>
    </row>
    <row r="102" customFormat="false" ht="15" hidden="false" customHeight="false" outlineLevel="0" collapsed="false">
      <c r="A102" s="23" t="n">
        <v>101</v>
      </c>
      <c r="B102" s="23" t="s">
        <v>25</v>
      </c>
      <c r="C102" s="30" t="s">
        <v>24</v>
      </c>
      <c r="D102" s="68" t="s">
        <v>186</v>
      </c>
      <c r="E102" s="68" t="s">
        <v>190</v>
      </c>
      <c r="F102" s="23" t="n">
        <v>205</v>
      </c>
      <c r="G102" s="161" t="s">
        <v>856</v>
      </c>
      <c r="H102" s="162" t="s">
        <v>7</v>
      </c>
      <c r="I102" s="171" t="s">
        <v>653</v>
      </c>
      <c r="J102" s="172" t="s">
        <v>654</v>
      </c>
      <c r="K102" s="23"/>
      <c r="L102" s="165" t="s">
        <v>857</v>
      </c>
      <c r="M102" s="166" t="s">
        <v>656</v>
      </c>
      <c r="N102" s="167"/>
      <c r="O102" s="166" t="n">
        <v>0</v>
      </c>
      <c r="P102" s="168" t="str">
        <f aca="false">IF(N102="","",N102+CHOOSE(MIN(O102,3)+1,3,7,21,45))</f>
        <v/>
      </c>
      <c r="Q102" s="166"/>
      <c r="R102" s="169"/>
    </row>
    <row r="103" customFormat="false" ht="15" hidden="false" customHeight="false" outlineLevel="0" collapsed="false">
      <c r="A103" s="23" t="n">
        <v>102</v>
      </c>
      <c r="B103" s="23" t="s">
        <v>25</v>
      </c>
      <c r="C103" s="30" t="s">
        <v>24</v>
      </c>
      <c r="D103" s="68" t="s">
        <v>186</v>
      </c>
      <c r="E103" s="68" t="s">
        <v>190</v>
      </c>
      <c r="F103" s="23" t="n">
        <v>290</v>
      </c>
      <c r="G103" s="161" t="s">
        <v>858</v>
      </c>
      <c r="H103" s="162" t="s">
        <v>7</v>
      </c>
      <c r="I103" s="171" t="s">
        <v>653</v>
      </c>
      <c r="J103" s="172" t="s">
        <v>654</v>
      </c>
      <c r="K103" s="23"/>
      <c r="L103" s="165" t="s">
        <v>859</v>
      </c>
      <c r="M103" s="166" t="s">
        <v>656</v>
      </c>
      <c r="N103" s="167"/>
      <c r="O103" s="166" t="n">
        <v>0</v>
      </c>
      <c r="P103" s="168" t="str">
        <f aca="false">IF(N103="","",N103+CHOOSE(MIN(O103,3)+1,3,7,21,45))</f>
        <v/>
      </c>
      <c r="Q103" s="166"/>
      <c r="R103" s="169"/>
    </row>
    <row r="104" customFormat="false" ht="15" hidden="false" customHeight="false" outlineLevel="0" collapsed="false">
      <c r="A104" s="23" t="n">
        <v>103</v>
      </c>
      <c r="B104" s="23" t="s">
        <v>25</v>
      </c>
      <c r="C104" s="30" t="s">
        <v>24</v>
      </c>
      <c r="D104" s="68" t="s">
        <v>186</v>
      </c>
      <c r="E104" s="68" t="s">
        <v>190</v>
      </c>
      <c r="F104" s="23" t="n">
        <v>792</v>
      </c>
      <c r="G104" s="161" t="s">
        <v>860</v>
      </c>
      <c r="H104" s="170" t="s">
        <v>9</v>
      </c>
      <c r="I104" s="171" t="s">
        <v>653</v>
      </c>
      <c r="J104" s="172" t="s">
        <v>654</v>
      </c>
      <c r="K104" s="23"/>
      <c r="L104" s="165" t="s">
        <v>861</v>
      </c>
      <c r="M104" s="166" t="s">
        <v>656</v>
      </c>
      <c r="N104" s="167"/>
      <c r="O104" s="166" t="n">
        <v>0</v>
      </c>
      <c r="P104" s="168" t="str">
        <f aca="false">IF(N104="","",N104+CHOOSE(MIN(O104,3)+1,3,7,21,45))</f>
        <v/>
      </c>
      <c r="Q104" s="166"/>
      <c r="R104" s="169"/>
    </row>
    <row r="105" customFormat="false" ht="15" hidden="false" customHeight="false" outlineLevel="0" collapsed="false">
      <c r="A105" s="23" t="n">
        <v>104</v>
      </c>
      <c r="B105" s="23" t="s">
        <v>25</v>
      </c>
      <c r="C105" s="30" t="s">
        <v>24</v>
      </c>
      <c r="D105" s="68" t="s">
        <v>193</v>
      </c>
      <c r="E105" s="68" t="s">
        <v>194</v>
      </c>
      <c r="F105" s="23" t="n">
        <v>28</v>
      </c>
      <c r="G105" s="161" t="s">
        <v>862</v>
      </c>
      <c r="H105" s="162" t="s">
        <v>7</v>
      </c>
      <c r="I105" s="176" t="s">
        <v>15</v>
      </c>
      <c r="J105" s="174" t="s">
        <v>669</v>
      </c>
      <c r="K105" s="23"/>
      <c r="L105" s="165" t="s">
        <v>863</v>
      </c>
      <c r="M105" s="166" t="s">
        <v>656</v>
      </c>
      <c r="N105" s="167"/>
      <c r="O105" s="166" t="n">
        <v>0</v>
      </c>
      <c r="P105" s="168" t="str">
        <f aca="false">IF(N105="","",N105+CHOOSE(MIN(O105,3)+1,3,7,21,45))</f>
        <v/>
      </c>
      <c r="Q105" s="166"/>
      <c r="R105" s="169"/>
    </row>
    <row r="106" customFormat="false" ht="15" hidden="false" customHeight="false" outlineLevel="0" collapsed="false">
      <c r="A106" s="23" t="n">
        <v>105</v>
      </c>
      <c r="B106" s="23" t="s">
        <v>25</v>
      </c>
      <c r="C106" s="30" t="s">
        <v>24</v>
      </c>
      <c r="D106" s="68" t="s">
        <v>193</v>
      </c>
      <c r="E106" s="68" t="s">
        <v>194</v>
      </c>
      <c r="F106" s="23" t="n">
        <v>459</v>
      </c>
      <c r="G106" s="161" t="s">
        <v>864</v>
      </c>
      <c r="H106" s="162" t="s">
        <v>7</v>
      </c>
      <c r="I106" s="171" t="s">
        <v>653</v>
      </c>
      <c r="J106" s="172" t="s">
        <v>654</v>
      </c>
      <c r="K106" s="23"/>
      <c r="L106" s="165" t="s">
        <v>865</v>
      </c>
      <c r="M106" s="166" t="s">
        <v>656</v>
      </c>
      <c r="N106" s="167"/>
      <c r="O106" s="166" t="n">
        <v>0</v>
      </c>
      <c r="P106" s="168" t="str">
        <f aca="false">IF(N106="","",N106+CHOOSE(MIN(O106,3)+1,3,7,21,45))</f>
        <v/>
      </c>
      <c r="Q106" s="166"/>
      <c r="R106" s="169"/>
    </row>
    <row r="107" customFormat="false" ht="15" hidden="false" customHeight="false" outlineLevel="0" collapsed="false">
      <c r="A107" s="23" t="n">
        <v>106</v>
      </c>
      <c r="B107" s="23" t="s">
        <v>25</v>
      </c>
      <c r="C107" s="30" t="s">
        <v>24</v>
      </c>
      <c r="D107" s="68" t="s">
        <v>193</v>
      </c>
      <c r="E107" s="68" t="s">
        <v>194</v>
      </c>
      <c r="F107" s="23" t="n">
        <v>1392</v>
      </c>
      <c r="G107" s="161" t="s">
        <v>866</v>
      </c>
      <c r="H107" s="175" t="s">
        <v>11</v>
      </c>
      <c r="I107" s="171" t="s">
        <v>653</v>
      </c>
      <c r="J107" s="172" t="s">
        <v>654</v>
      </c>
      <c r="K107" s="23"/>
      <c r="L107" s="165" t="s">
        <v>867</v>
      </c>
      <c r="M107" s="166" t="s">
        <v>656</v>
      </c>
      <c r="N107" s="167"/>
      <c r="O107" s="166" t="n">
        <v>0</v>
      </c>
      <c r="P107" s="168" t="str">
        <f aca="false">IF(N107="","",N107+CHOOSE(MIN(O107,3)+1,3,7,21,45))</f>
        <v/>
      </c>
      <c r="Q107" s="166"/>
      <c r="R107" s="169"/>
    </row>
    <row r="108" customFormat="false" ht="15" hidden="false" customHeight="false" outlineLevel="0" collapsed="false">
      <c r="A108" s="23" t="n">
        <v>107</v>
      </c>
      <c r="B108" s="23" t="s">
        <v>25</v>
      </c>
      <c r="C108" s="30" t="s">
        <v>24</v>
      </c>
      <c r="D108" s="68" t="s">
        <v>193</v>
      </c>
      <c r="E108" s="68" t="s">
        <v>198</v>
      </c>
      <c r="F108" s="23" t="n">
        <v>187</v>
      </c>
      <c r="G108" s="161" t="s">
        <v>868</v>
      </c>
      <c r="H108" s="170" t="s">
        <v>9</v>
      </c>
      <c r="I108" s="171" t="s">
        <v>653</v>
      </c>
      <c r="J108" s="172" t="s">
        <v>654</v>
      </c>
      <c r="K108" s="23"/>
      <c r="L108" s="165" t="s">
        <v>869</v>
      </c>
      <c r="M108" s="166" t="s">
        <v>656</v>
      </c>
      <c r="N108" s="167"/>
      <c r="O108" s="166" t="n">
        <v>0</v>
      </c>
      <c r="P108" s="168" t="str">
        <f aca="false">IF(N108="","",N108+CHOOSE(MIN(O108,3)+1,3,7,21,45))</f>
        <v/>
      </c>
      <c r="Q108" s="166"/>
      <c r="R108" s="169"/>
    </row>
    <row r="109" customFormat="false" ht="15" hidden="false" customHeight="false" outlineLevel="0" collapsed="false">
      <c r="A109" s="23" t="n">
        <v>108</v>
      </c>
      <c r="B109" s="23" t="s">
        <v>25</v>
      </c>
      <c r="C109" s="30" t="s">
        <v>24</v>
      </c>
      <c r="D109" s="68" t="s">
        <v>193</v>
      </c>
      <c r="E109" s="68" t="s">
        <v>198</v>
      </c>
      <c r="F109" s="23" t="n">
        <v>686</v>
      </c>
      <c r="G109" s="161" t="s">
        <v>870</v>
      </c>
      <c r="H109" s="170" t="s">
        <v>9</v>
      </c>
      <c r="I109" s="171" t="s">
        <v>653</v>
      </c>
      <c r="J109" s="172" t="s">
        <v>654</v>
      </c>
      <c r="K109" s="23"/>
      <c r="L109" s="165" t="s">
        <v>871</v>
      </c>
      <c r="M109" s="166" t="s">
        <v>656</v>
      </c>
      <c r="N109" s="167"/>
      <c r="O109" s="166" t="n">
        <v>0</v>
      </c>
      <c r="P109" s="168" t="str">
        <f aca="false">IF(N109="","",N109+CHOOSE(MIN(O109,3)+1,3,7,21,45))</f>
        <v/>
      </c>
      <c r="Q109" s="166"/>
      <c r="R109" s="169"/>
    </row>
    <row r="110" customFormat="false" ht="15" hidden="false" customHeight="false" outlineLevel="0" collapsed="false">
      <c r="A110" s="23" t="n">
        <v>109</v>
      </c>
      <c r="B110" s="23" t="s">
        <v>25</v>
      </c>
      <c r="C110" s="30" t="s">
        <v>24</v>
      </c>
      <c r="D110" s="68" t="s">
        <v>193</v>
      </c>
      <c r="E110" s="68" t="s">
        <v>198</v>
      </c>
      <c r="F110" s="23" t="n">
        <v>1044</v>
      </c>
      <c r="G110" s="161" t="s">
        <v>872</v>
      </c>
      <c r="H110" s="175" t="s">
        <v>11</v>
      </c>
      <c r="I110" s="171" t="s">
        <v>653</v>
      </c>
      <c r="J110" s="172" t="s">
        <v>654</v>
      </c>
      <c r="K110" s="23"/>
      <c r="L110" s="165" t="s">
        <v>873</v>
      </c>
      <c r="M110" s="166" t="s">
        <v>656</v>
      </c>
      <c r="N110" s="167"/>
      <c r="O110" s="166" t="n">
        <v>0</v>
      </c>
      <c r="P110" s="168" t="str">
        <f aca="false">IF(N110="","",N110+CHOOSE(MIN(O110,3)+1,3,7,21,45))</f>
        <v/>
      </c>
      <c r="Q110" s="166"/>
      <c r="R110" s="169"/>
    </row>
    <row r="111" customFormat="false" ht="15" hidden="false" customHeight="false" outlineLevel="0" collapsed="false">
      <c r="A111" s="23" t="n">
        <v>110</v>
      </c>
      <c r="B111" s="23" t="s">
        <v>25</v>
      </c>
      <c r="C111" s="30" t="s">
        <v>24</v>
      </c>
      <c r="D111" s="68" t="s">
        <v>193</v>
      </c>
      <c r="E111" s="68" t="s">
        <v>202</v>
      </c>
      <c r="F111" s="23" t="n">
        <v>2223</v>
      </c>
      <c r="G111" s="161" t="s">
        <v>874</v>
      </c>
      <c r="H111" s="175" t="s">
        <v>11</v>
      </c>
      <c r="I111" s="171" t="s">
        <v>653</v>
      </c>
      <c r="J111" s="172" t="s">
        <v>654</v>
      </c>
      <c r="K111" s="23"/>
      <c r="L111" s="165" t="s">
        <v>875</v>
      </c>
      <c r="M111" s="166" t="s">
        <v>656</v>
      </c>
      <c r="N111" s="167"/>
      <c r="O111" s="166" t="n">
        <v>0</v>
      </c>
      <c r="P111" s="168" t="str">
        <f aca="false">IF(N111="","",N111+CHOOSE(MIN(O111,3)+1,3,7,21,45))</f>
        <v/>
      </c>
      <c r="Q111" s="166"/>
      <c r="R111" s="169"/>
    </row>
    <row r="112" customFormat="false" ht="15" hidden="false" customHeight="false" outlineLevel="0" collapsed="false">
      <c r="A112" s="23" t="n">
        <v>111</v>
      </c>
      <c r="B112" s="23" t="s">
        <v>25</v>
      </c>
      <c r="C112" s="30" t="s">
        <v>24</v>
      </c>
      <c r="D112" s="68" t="s">
        <v>205</v>
      </c>
      <c r="E112" s="68" t="s">
        <v>206</v>
      </c>
      <c r="F112" s="23" t="n">
        <v>13</v>
      </c>
      <c r="G112" s="161" t="s">
        <v>876</v>
      </c>
      <c r="H112" s="162" t="s">
        <v>7</v>
      </c>
      <c r="I112" s="176" t="s">
        <v>15</v>
      </c>
      <c r="J112" s="174" t="s">
        <v>669</v>
      </c>
      <c r="K112" s="23"/>
      <c r="L112" s="165" t="s">
        <v>877</v>
      </c>
      <c r="M112" s="166" t="s">
        <v>656</v>
      </c>
      <c r="N112" s="167"/>
      <c r="O112" s="166" t="n">
        <v>0</v>
      </c>
      <c r="P112" s="168" t="str">
        <f aca="false">IF(N112="","",N112+CHOOSE(MIN(O112,3)+1,3,7,21,45))</f>
        <v/>
      </c>
      <c r="Q112" s="166"/>
      <c r="R112" s="169"/>
    </row>
    <row r="113" customFormat="false" ht="15" hidden="false" customHeight="false" outlineLevel="0" collapsed="false">
      <c r="A113" s="23" t="n">
        <v>112</v>
      </c>
      <c r="B113" s="23" t="s">
        <v>25</v>
      </c>
      <c r="C113" s="30" t="s">
        <v>24</v>
      </c>
      <c r="D113" s="68" t="s">
        <v>205</v>
      </c>
      <c r="E113" s="68" t="s">
        <v>206</v>
      </c>
      <c r="F113" s="23" t="n">
        <v>14</v>
      </c>
      <c r="G113" s="161" t="s">
        <v>878</v>
      </c>
      <c r="H113" s="162" t="s">
        <v>7</v>
      </c>
      <c r="I113" s="176" t="s">
        <v>15</v>
      </c>
      <c r="J113" s="174" t="s">
        <v>669</v>
      </c>
      <c r="K113" s="23"/>
      <c r="L113" s="165" t="s">
        <v>879</v>
      </c>
      <c r="M113" s="166" t="s">
        <v>656</v>
      </c>
      <c r="N113" s="167"/>
      <c r="O113" s="166" t="n">
        <v>0</v>
      </c>
      <c r="P113" s="168" t="str">
        <f aca="false">IF(N113="","",N113+CHOOSE(MIN(O113,3)+1,3,7,21,45))</f>
        <v/>
      </c>
      <c r="Q113" s="166"/>
      <c r="R113" s="169"/>
    </row>
    <row r="114" customFormat="false" ht="15" hidden="false" customHeight="false" outlineLevel="0" collapsed="false">
      <c r="A114" s="23" t="n">
        <v>113</v>
      </c>
      <c r="B114" s="23" t="s">
        <v>25</v>
      </c>
      <c r="C114" s="30" t="s">
        <v>24</v>
      </c>
      <c r="D114" s="68" t="s">
        <v>205</v>
      </c>
      <c r="E114" s="68" t="s">
        <v>206</v>
      </c>
      <c r="F114" s="23" t="n">
        <v>67</v>
      </c>
      <c r="G114" s="161" t="s">
        <v>880</v>
      </c>
      <c r="H114" s="162" t="s">
        <v>7</v>
      </c>
      <c r="I114" s="171" t="s">
        <v>653</v>
      </c>
      <c r="J114" s="172" t="s">
        <v>654</v>
      </c>
      <c r="K114" s="23"/>
      <c r="L114" s="165" t="s">
        <v>881</v>
      </c>
      <c r="M114" s="166" t="s">
        <v>656</v>
      </c>
      <c r="N114" s="167"/>
      <c r="O114" s="166" t="n">
        <v>0</v>
      </c>
      <c r="P114" s="168" t="str">
        <f aca="false">IF(N114="","",N114+CHOOSE(MIN(O114,3)+1,3,7,21,45))</f>
        <v/>
      </c>
      <c r="Q114" s="166"/>
      <c r="R114" s="169"/>
    </row>
    <row r="115" customFormat="false" ht="15" hidden="false" customHeight="false" outlineLevel="0" collapsed="false">
      <c r="A115" s="23" t="n">
        <v>114</v>
      </c>
      <c r="B115" s="23" t="s">
        <v>25</v>
      </c>
      <c r="C115" s="30" t="s">
        <v>24</v>
      </c>
      <c r="D115" s="68" t="s">
        <v>205</v>
      </c>
      <c r="E115" s="68" t="s">
        <v>206</v>
      </c>
      <c r="F115" s="23" t="n">
        <v>8</v>
      </c>
      <c r="G115" s="161" t="s">
        <v>882</v>
      </c>
      <c r="H115" s="170" t="s">
        <v>9</v>
      </c>
      <c r="I115" s="176" t="s">
        <v>15</v>
      </c>
      <c r="J115" s="174" t="s">
        <v>669</v>
      </c>
      <c r="K115" s="23"/>
      <c r="L115" s="165" t="s">
        <v>883</v>
      </c>
      <c r="M115" s="166" t="s">
        <v>656</v>
      </c>
      <c r="N115" s="167"/>
      <c r="O115" s="166" t="n">
        <v>0</v>
      </c>
      <c r="P115" s="168" t="str">
        <f aca="false">IF(N115="","",N115+CHOOSE(MIN(O115,3)+1,3,7,21,45))</f>
        <v/>
      </c>
      <c r="Q115" s="166"/>
      <c r="R115" s="169"/>
    </row>
    <row r="116" customFormat="false" ht="15" hidden="false" customHeight="false" outlineLevel="0" collapsed="false">
      <c r="A116" s="23" t="n">
        <v>115</v>
      </c>
      <c r="B116" s="23" t="s">
        <v>25</v>
      </c>
      <c r="C116" s="30" t="s">
        <v>24</v>
      </c>
      <c r="D116" s="68" t="s">
        <v>205</v>
      </c>
      <c r="E116" s="68" t="s">
        <v>206</v>
      </c>
      <c r="F116" s="23" t="n">
        <v>12</v>
      </c>
      <c r="G116" s="161" t="s">
        <v>884</v>
      </c>
      <c r="H116" s="170" t="s">
        <v>9</v>
      </c>
      <c r="I116" s="171" t="s">
        <v>653</v>
      </c>
      <c r="J116" s="172" t="s">
        <v>654</v>
      </c>
      <c r="K116" s="23"/>
      <c r="L116" s="165" t="s">
        <v>885</v>
      </c>
      <c r="M116" s="166" t="s">
        <v>656</v>
      </c>
      <c r="N116" s="167"/>
      <c r="O116" s="166" t="n">
        <v>0</v>
      </c>
      <c r="P116" s="168" t="str">
        <f aca="false">IF(N116="","",N116+CHOOSE(MIN(O116,3)+1,3,7,21,45))</f>
        <v/>
      </c>
      <c r="Q116" s="166"/>
      <c r="R116" s="169"/>
    </row>
    <row r="117" customFormat="false" ht="15" hidden="false" customHeight="false" outlineLevel="0" collapsed="false">
      <c r="A117" s="23" t="n">
        <v>116</v>
      </c>
      <c r="B117" s="23" t="s">
        <v>25</v>
      </c>
      <c r="C117" s="30" t="s">
        <v>24</v>
      </c>
      <c r="D117" s="68" t="s">
        <v>205</v>
      </c>
      <c r="E117" s="68" t="s">
        <v>206</v>
      </c>
      <c r="F117" s="23" t="n">
        <v>151</v>
      </c>
      <c r="G117" s="161" t="s">
        <v>886</v>
      </c>
      <c r="H117" s="170" t="s">
        <v>9</v>
      </c>
      <c r="I117" s="176" t="s">
        <v>15</v>
      </c>
      <c r="J117" s="174" t="s">
        <v>669</v>
      </c>
      <c r="K117" s="23"/>
      <c r="L117" s="165" t="s">
        <v>887</v>
      </c>
      <c r="M117" s="166" t="s">
        <v>656</v>
      </c>
      <c r="N117" s="167"/>
      <c r="O117" s="166" t="n">
        <v>0</v>
      </c>
      <c r="P117" s="168" t="str">
        <f aca="false">IF(N117="","",N117+CHOOSE(MIN(O117,3)+1,3,7,21,45))</f>
        <v/>
      </c>
      <c r="Q117" s="166"/>
      <c r="R117" s="169"/>
    </row>
    <row r="118" customFormat="false" ht="15" hidden="false" customHeight="false" outlineLevel="0" collapsed="false">
      <c r="A118" s="23" t="n">
        <v>117</v>
      </c>
      <c r="B118" s="23" t="s">
        <v>25</v>
      </c>
      <c r="C118" s="30" t="s">
        <v>24</v>
      </c>
      <c r="D118" s="68" t="s">
        <v>205</v>
      </c>
      <c r="E118" s="68" t="s">
        <v>206</v>
      </c>
      <c r="F118" s="23" t="n">
        <v>6</v>
      </c>
      <c r="G118" s="161" t="s">
        <v>888</v>
      </c>
      <c r="H118" s="170" t="s">
        <v>9</v>
      </c>
      <c r="I118" s="171" t="s">
        <v>653</v>
      </c>
      <c r="J118" s="172" t="s">
        <v>654</v>
      </c>
      <c r="K118" s="23"/>
      <c r="L118" s="165" t="s">
        <v>889</v>
      </c>
      <c r="M118" s="166" t="s">
        <v>656</v>
      </c>
      <c r="N118" s="167"/>
      <c r="O118" s="166" t="n">
        <v>0</v>
      </c>
      <c r="P118" s="168" t="str">
        <f aca="false">IF(N118="","",N118+CHOOSE(MIN(O118,3)+1,3,7,21,45))</f>
        <v/>
      </c>
      <c r="Q118" s="166"/>
      <c r="R118" s="169"/>
    </row>
    <row r="119" customFormat="false" ht="15" hidden="false" customHeight="false" outlineLevel="0" collapsed="false">
      <c r="A119" s="23" t="n">
        <v>118</v>
      </c>
      <c r="B119" s="23" t="s">
        <v>25</v>
      </c>
      <c r="C119" s="30" t="s">
        <v>24</v>
      </c>
      <c r="D119" s="68" t="s">
        <v>205</v>
      </c>
      <c r="E119" s="68" t="s">
        <v>209</v>
      </c>
      <c r="F119" s="23" t="n">
        <v>443</v>
      </c>
      <c r="G119" s="161" t="s">
        <v>890</v>
      </c>
      <c r="H119" s="170" t="s">
        <v>9</v>
      </c>
      <c r="I119" s="171" t="s">
        <v>653</v>
      </c>
      <c r="J119" s="172" t="s">
        <v>654</v>
      </c>
      <c r="K119" s="23"/>
      <c r="L119" s="165" t="s">
        <v>891</v>
      </c>
      <c r="M119" s="166" t="s">
        <v>656</v>
      </c>
      <c r="N119" s="167"/>
      <c r="O119" s="166" t="n">
        <v>0</v>
      </c>
      <c r="P119" s="168" t="str">
        <f aca="false">IF(N119="","",N119+CHOOSE(MIN(O119,3)+1,3,7,21,45))</f>
        <v/>
      </c>
      <c r="Q119" s="166"/>
      <c r="R119" s="169"/>
    </row>
    <row r="120" customFormat="false" ht="15" hidden="false" customHeight="false" outlineLevel="0" collapsed="false">
      <c r="A120" s="23" t="n">
        <v>119</v>
      </c>
      <c r="B120" s="23" t="s">
        <v>25</v>
      </c>
      <c r="C120" s="30" t="s">
        <v>24</v>
      </c>
      <c r="D120" s="68" t="s">
        <v>205</v>
      </c>
      <c r="E120" s="68" t="s">
        <v>209</v>
      </c>
      <c r="F120" s="23" t="n">
        <v>271</v>
      </c>
      <c r="G120" s="161" t="s">
        <v>892</v>
      </c>
      <c r="H120" s="170" t="s">
        <v>9</v>
      </c>
      <c r="I120" s="163" t="s">
        <v>13</v>
      </c>
      <c r="J120" s="164" t="s">
        <v>649</v>
      </c>
      <c r="K120" s="23" t="s">
        <v>672</v>
      </c>
      <c r="L120" s="165" t="s">
        <v>893</v>
      </c>
      <c r="M120" s="166" t="s">
        <v>656</v>
      </c>
      <c r="N120" s="167"/>
      <c r="O120" s="166" t="n">
        <v>0</v>
      </c>
      <c r="P120" s="168" t="str">
        <f aca="false">IF(N120="","",N120+CHOOSE(MIN(O120,3)+1,3,7,21,45))</f>
        <v/>
      </c>
      <c r="Q120" s="166"/>
      <c r="R120" s="169"/>
    </row>
    <row r="121" customFormat="false" ht="15" hidden="false" customHeight="false" outlineLevel="0" collapsed="false">
      <c r="A121" s="23" t="n">
        <v>120</v>
      </c>
      <c r="B121" s="23" t="s">
        <v>25</v>
      </c>
      <c r="C121" s="30" t="s">
        <v>24</v>
      </c>
      <c r="D121" s="68" t="s">
        <v>205</v>
      </c>
      <c r="E121" s="68" t="s">
        <v>209</v>
      </c>
      <c r="F121" s="23" t="n">
        <v>43</v>
      </c>
      <c r="G121" s="161" t="s">
        <v>894</v>
      </c>
      <c r="H121" s="170" t="s">
        <v>9</v>
      </c>
      <c r="I121" s="173" t="s">
        <v>668</v>
      </c>
      <c r="J121" s="174" t="s">
        <v>669</v>
      </c>
      <c r="K121" s="23"/>
      <c r="L121" s="165" t="s">
        <v>895</v>
      </c>
      <c r="M121" s="166" t="s">
        <v>656</v>
      </c>
      <c r="N121" s="167"/>
      <c r="O121" s="166" t="n">
        <v>0</v>
      </c>
      <c r="P121" s="168" t="str">
        <f aca="false">IF(N121="","",N121+CHOOSE(MIN(O121,3)+1,3,7,21,45))</f>
        <v/>
      </c>
      <c r="Q121" s="166"/>
      <c r="R121" s="169"/>
    </row>
    <row r="122" customFormat="false" ht="15" hidden="false" customHeight="false" outlineLevel="0" collapsed="false">
      <c r="A122" s="23" t="n">
        <v>121</v>
      </c>
      <c r="B122" s="23" t="s">
        <v>25</v>
      </c>
      <c r="C122" s="30" t="s">
        <v>24</v>
      </c>
      <c r="D122" s="68" t="s">
        <v>205</v>
      </c>
      <c r="E122" s="68" t="s">
        <v>209</v>
      </c>
      <c r="F122" s="23" t="n">
        <v>68</v>
      </c>
      <c r="G122" s="161" t="s">
        <v>896</v>
      </c>
      <c r="H122" s="175" t="s">
        <v>11</v>
      </c>
      <c r="I122" s="171" t="s">
        <v>653</v>
      </c>
      <c r="J122" s="172" t="s">
        <v>654</v>
      </c>
      <c r="K122" s="23"/>
      <c r="L122" s="165" t="s">
        <v>897</v>
      </c>
      <c r="M122" s="166" t="s">
        <v>656</v>
      </c>
      <c r="N122" s="167"/>
      <c r="O122" s="166" t="n">
        <v>0</v>
      </c>
      <c r="P122" s="168" t="str">
        <f aca="false">IF(N122="","",N122+CHOOSE(MIN(O122,3)+1,3,7,21,45))</f>
        <v/>
      </c>
      <c r="Q122" s="166"/>
      <c r="R122" s="169"/>
    </row>
    <row r="123" customFormat="false" ht="15" hidden="false" customHeight="false" outlineLevel="0" collapsed="false">
      <c r="A123" s="23" t="n">
        <v>122</v>
      </c>
      <c r="B123" s="23" t="s">
        <v>25</v>
      </c>
      <c r="C123" s="31" t="s">
        <v>26</v>
      </c>
      <c r="D123" s="74" t="s">
        <v>214</v>
      </c>
      <c r="E123" s="74" t="s">
        <v>215</v>
      </c>
      <c r="F123" s="23" t="n">
        <v>54</v>
      </c>
      <c r="G123" s="161" t="s">
        <v>898</v>
      </c>
      <c r="H123" s="170" t="s">
        <v>9</v>
      </c>
      <c r="I123" s="163" t="s">
        <v>13</v>
      </c>
      <c r="J123" s="164" t="s">
        <v>649</v>
      </c>
      <c r="K123" s="23"/>
      <c r="L123" s="165" t="s">
        <v>899</v>
      </c>
      <c r="M123" s="166" t="s">
        <v>656</v>
      </c>
      <c r="N123" s="167"/>
      <c r="O123" s="166" t="n">
        <v>0</v>
      </c>
      <c r="P123" s="168" t="str">
        <f aca="false">IF(N123="","",N123+CHOOSE(MIN(O123,3)+1,3,7,21,45))</f>
        <v/>
      </c>
      <c r="Q123" s="166"/>
      <c r="R123" s="169"/>
    </row>
    <row r="124" customFormat="false" ht="15" hidden="false" customHeight="false" outlineLevel="0" collapsed="false">
      <c r="A124" s="23" t="n">
        <v>123</v>
      </c>
      <c r="B124" s="23" t="s">
        <v>25</v>
      </c>
      <c r="C124" s="31" t="s">
        <v>26</v>
      </c>
      <c r="D124" s="74" t="s">
        <v>214</v>
      </c>
      <c r="E124" s="74" t="s">
        <v>215</v>
      </c>
      <c r="F124" s="23" t="n">
        <v>59</v>
      </c>
      <c r="G124" s="161" t="s">
        <v>900</v>
      </c>
      <c r="H124" s="170" t="s">
        <v>9</v>
      </c>
      <c r="I124" s="171" t="s">
        <v>653</v>
      </c>
      <c r="J124" s="172" t="s">
        <v>654</v>
      </c>
      <c r="K124" s="23"/>
      <c r="L124" s="165" t="s">
        <v>901</v>
      </c>
      <c r="M124" s="166" t="s">
        <v>656</v>
      </c>
      <c r="N124" s="167"/>
      <c r="O124" s="166" t="n">
        <v>0</v>
      </c>
      <c r="P124" s="168" t="str">
        <f aca="false">IF(N124="","",N124+CHOOSE(MIN(O124,3)+1,3,7,21,45))</f>
        <v/>
      </c>
      <c r="Q124" s="166"/>
      <c r="R124" s="169"/>
    </row>
    <row r="125" customFormat="false" ht="15" hidden="false" customHeight="false" outlineLevel="0" collapsed="false">
      <c r="A125" s="23" t="n">
        <v>124</v>
      </c>
      <c r="B125" s="23" t="s">
        <v>25</v>
      </c>
      <c r="C125" s="31" t="s">
        <v>26</v>
      </c>
      <c r="D125" s="74" t="s">
        <v>214</v>
      </c>
      <c r="E125" s="74" t="s">
        <v>215</v>
      </c>
      <c r="F125" s="23" t="n">
        <v>498</v>
      </c>
      <c r="G125" s="161" t="s">
        <v>902</v>
      </c>
      <c r="H125" s="170" t="s">
        <v>9</v>
      </c>
      <c r="I125" s="171" t="s">
        <v>653</v>
      </c>
      <c r="J125" s="172" t="s">
        <v>654</v>
      </c>
      <c r="K125" s="23"/>
      <c r="L125" s="165" t="s">
        <v>903</v>
      </c>
      <c r="M125" s="166" t="s">
        <v>656</v>
      </c>
      <c r="N125" s="167"/>
      <c r="O125" s="166" t="n">
        <v>0</v>
      </c>
      <c r="P125" s="168" t="str">
        <f aca="false">IF(N125="","",N125+CHOOSE(MIN(O125,3)+1,3,7,21,45))</f>
        <v/>
      </c>
      <c r="Q125" s="166"/>
      <c r="R125" s="169"/>
    </row>
    <row r="126" customFormat="false" ht="15" hidden="false" customHeight="false" outlineLevel="0" collapsed="false">
      <c r="A126" s="23" t="n">
        <v>125</v>
      </c>
      <c r="B126" s="23" t="s">
        <v>25</v>
      </c>
      <c r="C126" s="31" t="s">
        <v>26</v>
      </c>
      <c r="D126" s="74" t="s">
        <v>214</v>
      </c>
      <c r="E126" s="74" t="s">
        <v>219</v>
      </c>
      <c r="F126" s="23" t="n">
        <v>867</v>
      </c>
      <c r="G126" s="161" t="s">
        <v>904</v>
      </c>
      <c r="H126" s="162" t="s">
        <v>7</v>
      </c>
      <c r="I126" s="171" t="s">
        <v>653</v>
      </c>
      <c r="J126" s="172" t="s">
        <v>654</v>
      </c>
      <c r="K126" s="23"/>
      <c r="L126" s="165" t="s">
        <v>905</v>
      </c>
      <c r="M126" s="166" t="s">
        <v>656</v>
      </c>
      <c r="N126" s="167"/>
      <c r="O126" s="166" t="n">
        <v>0</v>
      </c>
      <c r="P126" s="168" t="str">
        <f aca="false">IF(N126="","",N126+CHOOSE(MIN(O126,3)+1,3,7,21,45))</f>
        <v/>
      </c>
      <c r="Q126" s="166"/>
      <c r="R126" s="169"/>
    </row>
    <row r="127" customFormat="false" ht="15" hidden="false" customHeight="false" outlineLevel="0" collapsed="false">
      <c r="A127" s="23" t="n">
        <v>126</v>
      </c>
      <c r="B127" s="23" t="s">
        <v>25</v>
      </c>
      <c r="C127" s="31" t="s">
        <v>26</v>
      </c>
      <c r="D127" s="74" t="s">
        <v>214</v>
      </c>
      <c r="E127" s="74" t="s">
        <v>219</v>
      </c>
      <c r="F127" s="23" t="n">
        <v>766</v>
      </c>
      <c r="G127" s="161" t="s">
        <v>906</v>
      </c>
      <c r="H127" s="162" t="s">
        <v>7</v>
      </c>
      <c r="I127" s="171" t="s">
        <v>653</v>
      </c>
      <c r="J127" s="172" t="s">
        <v>654</v>
      </c>
      <c r="K127" s="23"/>
      <c r="L127" s="165" t="s">
        <v>907</v>
      </c>
      <c r="M127" s="166" t="s">
        <v>656</v>
      </c>
      <c r="N127" s="167"/>
      <c r="O127" s="166" t="n">
        <v>0</v>
      </c>
      <c r="P127" s="168" t="str">
        <f aca="false">IF(N127="","",N127+CHOOSE(MIN(O127,3)+1,3,7,21,45))</f>
        <v/>
      </c>
      <c r="Q127" s="166"/>
      <c r="R127" s="169"/>
    </row>
    <row r="128" customFormat="false" ht="15" hidden="false" customHeight="false" outlineLevel="0" collapsed="false">
      <c r="A128" s="23" t="n">
        <v>127</v>
      </c>
      <c r="B128" s="23" t="s">
        <v>25</v>
      </c>
      <c r="C128" s="31" t="s">
        <v>26</v>
      </c>
      <c r="D128" s="74" t="s">
        <v>214</v>
      </c>
      <c r="E128" s="74" t="s">
        <v>219</v>
      </c>
      <c r="F128" s="23" t="n">
        <v>48</v>
      </c>
      <c r="G128" s="161" t="s">
        <v>908</v>
      </c>
      <c r="H128" s="170" t="s">
        <v>9</v>
      </c>
      <c r="I128" s="163" t="s">
        <v>13</v>
      </c>
      <c r="J128" s="164" t="s">
        <v>649</v>
      </c>
      <c r="K128" s="23"/>
      <c r="L128" s="165" t="s">
        <v>909</v>
      </c>
      <c r="M128" s="166" t="s">
        <v>656</v>
      </c>
      <c r="N128" s="167"/>
      <c r="O128" s="166" t="n">
        <v>0</v>
      </c>
      <c r="P128" s="168" t="str">
        <f aca="false">IF(N128="","",N128+CHOOSE(MIN(O128,3)+1,3,7,21,45))</f>
        <v/>
      </c>
      <c r="Q128" s="166"/>
      <c r="R128" s="169"/>
    </row>
    <row r="129" customFormat="false" ht="15" hidden="false" customHeight="false" outlineLevel="0" collapsed="false">
      <c r="A129" s="23" t="n">
        <v>128</v>
      </c>
      <c r="B129" s="23" t="s">
        <v>25</v>
      </c>
      <c r="C129" s="31" t="s">
        <v>26</v>
      </c>
      <c r="D129" s="74" t="s">
        <v>214</v>
      </c>
      <c r="E129" s="74" t="s">
        <v>219</v>
      </c>
      <c r="F129" s="23" t="n">
        <v>73</v>
      </c>
      <c r="G129" s="161" t="s">
        <v>910</v>
      </c>
      <c r="H129" s="170" t="s">
        <v>9</v>
      </c>
      <c r="I129" s="163" t="s">
        <v>13</v>
      </c>
      <c r="J129" s="164" t="s">
        <v>649</v>
      </c>
      <c r="K129" s="23"/>
      <c r="L129" s="165" t="s">
        <v>911</v>
      </c>
      <c r="M129" s="166" t="s">
        <v>656</v>
      </c>
      <c r="N129" s="167"/>
      <c r="O129" s="166" t="n">
        <v>0</v>
      </c>
      <c r="P129" s="168" t="str">
        <f aca="false">IF(N129="","",N129+CHOOSE(MIN(O129,3)+1,3,7,21,45))</f>
        <v/>
      </c>
      <c r="Q129" s="166"/>
      <c r="R129" s="169"/>
    </row>
    <row r="130" customFormat="false" ht="15" hidden="false" customHeight="false" outlineLevel="0" collapsed="false">
      <c r="A130" s="23" t="n">
        <v>129</v>
      </c>
      <c r="B130" s="23" t="s">
        <v>25</v>
      </c>
      <c r="C130" s="31" t="s">
        <v>26</v>
      </c>
      <c r="D130" s="74" t="s">
        <v>214</v>
      </c>
      <c r="E130" s="74" t="s">
        <v>219</v>
      </c>
      <c r="F130" s="23" t="n">
        <v>289</v>
      </c>
      <c r="G130" s="161" t="s">
        <v>912</v>
      </c>
      <c r="H130" s="170" t="s">
        <v>9</v>
      </c>
      <c r="I130" s="171" t="s">
        <v>653</v>
      </c>
      <c r="J130" s="172" t="s">
        <v>654</v>
      </c>
      <c r="K130" s="23"/>
      <c r="L130" s="165" t="s">
        <v>913</v>
      </c>
      <c r="M130" s="166" t="s">
        <v>656</v>
      </c>
      <c r="N130" s="167"/>
      <c r="O130" s="166" t="n">
        <v>0</v>
      </c>
      <c r="P130" s="168" t="str">
        <f aca="false">IF(N130="","",N130+CHOOSE(MIN(O130,3)+1,3,7,21,45))</f>
        <v/>
      </c>
      <c r="Q130" s="166"/>
      <c r="R130" s="169"/>
    </row>
    <row r="131" customFormat="false" ht="15" hidden="false" customHeight="false" outlineLevel="0" collapsed="false">
      <c r="A131" s="23" t="n">
        <v>130</v>
      </c>
      <c r="B131" s="23" t="s">
        <v>28</v>
      </c>
      <c r="C131" s="32" t="s">
        <v>27</v>
      </c>
      <c r="D131" s="79" t="s">
        <v>224</v>
      </c>
      <c r="E131" s="79" t="s">
        <v>225</v>
      </c>
      <c r="F131" s="23" t="n">
        <v>20</v>
      </c>
      <c r="G131" s="161" t="s">
        <v>914</v>
      </c>
      <c r="H131" s="162" t="s">
        <v>7</v>
      </c>
      <c r="I131" s="163" t="s">
        <v>13</v>
      </c>
      <c r="J131" s="164" t="s">
        <v>649</v>
      </c>
      <c r="K131" s="23"/>
      <c r="L131" s="165" t="s">
        <v>915</v>
      </c>
      <c r="M131" s="166" t="s">
        <v>656</v>
      </c>
      <c r="N131" s="167"/>
      <c r="O131" s="166" t="n">
        <v>0</v>
      </c>
      <c r="P131" s="168" t="str">
        <f aca="false">IF(N131="","",N131+CHOOSE(MIN(O131,3)+1,3,7,21,45))</f>
        <v/>
      </c>
      <c r="Q131" s="166"/>
      <c r="R131" s="169"/>
    </row>
    <row r="132" customFormat="false" ht="15" hidden="false" customHeight="false" outlineLevel="0" collapsed="false">
      <c r="A132" s="23" t="n">
        <v>131</v>
      </c>
      <c r="B132" s="23" t="s">
        <v>28</v>
      </c>
      <c r="C132" s="32" t="s">
        <v>27</v>
      </c>
      <c r="D132" s="79" t="s">
        <v>224</v>
      </c>
      <c r="E132" s="79" t="s">
        <v>225</v>
      </c>
      <c r="F132" s="23" t="n">
        <v>1047</v>
      </c>
      <c r="G132" s="161" t="s">
        <v>916</v>
      </c>
      <c r="H132" s="162" t="s">
        <v>7</v>
      </c>
      <c r="I132" s="171" t="s">
        <v>653</v>
      </c>
      <c r="J132" s="172" t="s">
        <v>654</v>
      </c>
      <c r="K132" s="23"/>
      <c r="L132" s="165" t="s">
        <v>917</v>
      </c>
      <c r="M132" s="166" t="s">
        <v>656</v>
      </c>
      <c r="N132" s="167"/>
      <c r="O132" s="166" t="n">
        <v>0</v>
      </c>
      <c r="P132" s="168" t="str">
        <f aca="false">IF(N132="","",N132+CHOOSE(MIN(O132,3)+1,3,7,21,45))</f>
        <v/>
      </c>
      <c r="Q132" s="166"/>
      <c r="R132" s="169"/>
    </row>
    <row r="133" customFormat="false" ht="15" hidden="false" customHeight="false" outlineLevel="0" collapsed="false">
      <c r="A133" s="23" t="n">
        <v>132</v>
      </c>
      <c r="B133" s="23" t="s">
        <v>28</v>
      </c>
      <c r="C133" s="32" t="s">
        <v>27</v>
      </c>
      <c r="D133" s="79" t="s">
        <v>224</v>
      </c>
      <c r="E133" s="79" t="s">
        <v>225</v>
      </c>
      <c r="F133" s="23" t="n">
        <v>921</v>
      </c>
      <c r="G133" s="161" t="s">
        <v>918</v>
      </c>
      <c r="H133" s="170" t="s">
        <v>9</v>
      </c>
      <c r="I133" s="171" t="s">
        <v>653</v>
      </c>
      <c r="J133" s="172" t="s">
        <v>654</v>
      </c>
      <c r="K133" s="23"/>
      <c r="L133" s="165" t="s">
        <v>919</v>
      </c>
      <c r="M133" s="166" t="s">
        <v>656</v>
      </c>
      <c r="N133" s="167"/>
      <c r="O133" s="166" t="n">
        <v>0</v>
      </c>
      <c r="P133" s="168" t="str">
        <f aca="false">IF(N133="","",N133+CHOOSE(MIN(O133,3)+1,3,7,21,45))</f>
        <v/>
      </c>
      <c r="Q133" s="166"/>
      <c r="R133" s="169"/>
    </row>
    <row r="134" customFormat="false" ht="15" hidden="false" customHeight="false" outlineLevel="0" collapsed="false">
      <c r="A134" s="23" t="n">
        <v>133</v>
      </c>
      <c r="B134" s="23" t="s">
        <v>28</v>
      </c>
      <c r="C134" s="32" t="s">
        <v>27</v>
      </c>
      <c r="D134" s="79" t="s">
        <v>224</v>
      </c>
      <c r="E134" s="79" t="s">
        <v>225</v>
      </c>
      <c r="F134" s="23" t="n">
        <v>1249</v>
      </c>
      <c r="G134" s="161" t="s">
        <v>920</v>
      </c>
      <c r="H134" s="170" t="s">
        <v>9</v>
      </c>
      <c r="I134" s="176" t="s">
        <v>15</v>
      </c>
      <c r="J134" s="174" t="s">
        <v>669</v>
      </c>
      <c r="K134" s="23"/>
      <c r="L134" s="165" t="s">
        <v>921</v>
      </c>
      <c r="M134" s="166" t="s">
        <v>656</v>
      </c>
      <c r="N134" s="167"/>
      <c r="O134" s="166" t="n">
        <v>0</v>
      </c>
      <c r="P134" s="168" t="str">
        <f aca="false">IF(N134="","",N134+CHOOSE(MIN(O134,3)+1,3,7,21,45))</f>
        <v/>
      </c>
      <c r="Q134" s="166"/>
      <c r="R134" s="169"/>
    </row>
    <row r="135" customFormat="false" ht="15" hidden="false" customHeight="false" outlineLevel="0" collapsed="false">
      <c r="A135" s="23" t="n">
        <v>134</v>
      </c>
      <c r="B135" s="23" t="s">
        <v>28</v>
      </c>
      <c r="C135" s="32" t="s">
        <v>27</v>
      </c>
      <c r="D135" s="79" t="s">
        <v>224</v>
      </c>
      <c r="E135" s="79" t="s">
        <v>225</v>
      </c>
      <c r="F135" s="23" t="n">
        <v>1209</v>
      </c>
      <c r="G135" s="161" t="s">
        <v>922</v>
      </c>
      <c r="H135" s="170" t="s">
        <v>9</v>
      </c>
      <c r="I135" s="171" t="s">
        <v>653</v>
      </c>
      <c r="J135" s="172" t="s">
        <v>654</v>
      </c>
      <c r="K135" s="23"/>
      <c r="L135" s="165" t="s">
        <v>923</v>
      </c>
      <c r="M135" s="166" t="s">
        <v>656</v>
      </c>
      <c r="N135" s="167"/>
      <c r="O135" s="166" t="n">
        <v>0</v>
      </c>
      <c r="P135" s="168" t="str">
        <f aca="false">IF(N135="","",N135+CHOOSE(MIN(O135,3)+1,3,7,21,45))</f>
        <v/>
      </c>
      <c r="Q135" s="166"/>
      <c r="R135" s="169"/>
    </row>
    <row r="136" customFormat="false" ht="15" hidden="false" customHeight="false" outlineLevel="0" collapsed="false">
      <c r="A136" s="23" t="n">
        <v>135</v>
      </c>
      <c r="B136" s="23" t="s">
        <v>28</v>
      </c>
      <c r="C136" s="32" t="s">
        <v>27</v>
      </c>
      <c r="D136" s="79" t="s">
        <v>224</v>
      </c>
      <c r="E136" s="79" t="s">
        <v>225</v>
      </c>
      <c r="F136" s="23" t="n">
        <v>32</v>
      </c>
      <c r="G136" s="161" t="s">
        <v>924</v>
      </c>
      <c r="H136" s="175" t="s">
        <v>11</v>
      </c>
      <c r="I136" s="176" t="s">
        <v>15</v>
      </c>
      <c r="J136" s="174" t="s">
        <v>669</v>
      </c>
      <c r="K136" s="23"/>
      <c r="L136" s="165" t="s">
        <v>925</v>
      </c>
      <c r="M136" s="166" t="s">
        <v>656</v>
      </c>
      <c r="N136" s="167"/>
      <c r="O136" s="166" t="n">
        <v>0</v>
      </c>
      <c r="P136" s="168" t="str">
        <f aca="false">IF(N136="","",N136+CHOOSE(MIN(O136,3)+1,3,7,21,45))</f>
        <v/>
      </c>
      <c r="Q136" s="166"/>
      <c r="R136" s="169"/>
    </row>
    <row r="137" customFormat="false" ht="15" hidden="false" customHeight="false" outlineLevel="0" collapsed="false">
      <c r="A137" s="23" t="n">
        <v>136</v>
      </c>
      <c r="B137" s="23" t="s">
        <v>28</v>
      </c>
      <c r="C137" s="32" t="s">
        <v>27</v>
      </c>
      <c r="D137" s="79" t="s">
        <v>224</v>
      </c>
      <c r="E137" s="79" t="s">
        <v>228</v>
      </c>
      <c r="F137" s="23" t="n">
        <v>2390</v>
      </c>
      <c r="G137" s="161" t="s">
        <v>926</v>
      </c>
      <c r="H137" s="170" t="s">
        <v>9</v>
      </c>
      <c r="I137" s="171" t="s">
        <v>653</v>
      </c>
      <c r="J137" s="172" t="s">
        <v>654</v>
      </c>
      <c r="K137" s="23"/>
      <c r="L137" s="165" t="s">
        <v>927</v>
      </c>
      <c r="M137" s="166" t="s">
        <v>656</v>
      </c>
      <c r="N137" s="167"/>
      <c r="O137" s="166" t="n">
        <v>0</v>
      </c>
      <c r="P137" s="168" t="str">
        <f aca="false">IF(N137="","",N137+CHOOSE(MIN(O137,3)+1,3,7,21,45))</f>
        <v/>
      </c>
      <c r="Q137" s="166"/>
      <c r="R137" s="169"/>
    </row>
    <row r="138" customFormat="false" ht="15" hidden="false" customHeight="false" outlineLevel="0" collapsed="false">
      <c r="A138" s="23" t="n">
        <v>137</v>
      </c>
      <c r="B138" s="23" t="s">
        <v>28</v>
      </c>
      <c r="C138" s="32" t="s">
        <v>27</v>
      </c>
      <c r="D138" s="79" t="s">
        <v>224</v>
      </c>
      <c r="E138" s="79" t="s">
        <v>228</v>
      </c>
      <c r="F138" s="23" t="n">
        <v>735</v>
      </c>
      <c r="G138" s="161" t="s">
        <v>928</v>
      </c>
      <c r="H138" s="170" t="s">
        <v>9</v>
      </c>
      <c r="I138" s="176" t="s">
        <v>15</v>
      </c>
      <c r="J138" s="174" t="s">
        <v>669</v>
      </c>
      <c r="K138" s="23"/>
      <c r="L138" s="165" t="s">
        <v>929</v>
      </c>
      <c r="M138" s="166" t="s">
        <v>656</v>
      </c>
      <c r="N138" s="167"/>
      <c r="O138" s="166" t="n">
        <v>0</v>
      </c>
      <c r="P138" s="168" t="str">
        <f aca="false">IF(N138="","",N138+CHOOSE(MIN(O138,3)+1,3,7,21,45))</f>
        <v/>
      </c>
      <c r="Q138" s="166"/>
      <c r="R138" s="169"/>
    </row>
    <row r="139" customFormat="false" ht="15" hidden="false" customHeight="false" outlineLevel="0" collapsed="false">
      <c r="A139" s="23" t="n">
        <v>138</v>
      </c>
      <c r="B139" s="23" t="s">
        <v>28</v>
      </c>
      <c r="C139" s="32" t="s">
        <v>27</v>
      </c>
      <c r="D139" s="79" t="s">
        <v>224</v>
      </c>
      <c r="E139" s="79" t="s">
        <v>228</v>
      </c>
      <c r="F139" s="23" t="n">
        <v>946</v>
      </c>
      <c r="G139" s="161" t="s">
        <v>930</v>
      </c>
      <c r="H139" s="170" t="s">
        <v>9</v>
      </c>
      <c r="I139" s="171" t="s">
        <v>653</v>
      </c>
      <c r="J139" s="172" t="s">
        <v>654</v>
      </c>
      <c r="K139" s="23"/>
      <c r="L139" s="165" t="s">
        <v>931</v>
      </c>
      <c r="M139" s="166" t="s">
        <v>656</v>
      </c>
      <c r="N139" s="167"/>
      <c r="O139" s="166" t="n">
        <v>0</v>
      </c>
      <c r="P139" s="168" t="str">
        <f aca="false">IF(N139="","",N139+CHOOSE(MIN(O139,3)+1,3,7,21,45))</f>
        <v/>
      </c>
      <c r="Q139" s="166"/>
      <c r="R139" s="169"/>
    </row>
    <row r="140" customFormat="false" ht="23.85" hidden="false" customHeight="false" outlineLevel="0" collapsed="false">
      <c r="A140" s="23" t="n">
        <v>139</v>
      </c>
      <c r="B140" s="23" t="s">
        <v>28</v>
      </c>
      <c r="C140" s="32" t="s">
        <v>27</v>
      </c>
      <c r="D140" s="79" t="s">
        <v>224</v>
      </c>
      <c r="E140" s="79" t="s">
        <v>231</v>
      </c>
      <c r="F140" s="23" t="n">
        <v>150</v>
      </c>
      <c r="G140" s="161" t="s">
        <v>932</v>
      </c>
      <c r="H140" s="170" t="s">
        <v>9</v>
      </c>
      <c r="I140" s="173" t="s">
        <v>668</v>
      </c>
      <c r="J140" s="174" t="s">
        <v>669</v>
      </c>
      <c r="K140" s="23"/>
      <c r="L140" s="165" t="s">
        <v>933</v>
      </c>
      <c r="M140" s="166" t="s">
        <v>656</v>
      </c>
      <c r="N140" s="167"/>
      <c r="O140" s="166" t="n">
        <v>0</v>
      </c>
      <c r="P140" s="168" t="str">
        <f aca="false">IF(N140="","",N140+CHOOSE(MIN(O140,3)+1,3,7,21,45))</f>
        <v/>
      </c>
      <c r="Q140" s="166"/>
      <c r="R140" s="169"/>
    </row>
    <row r="141" customFormat="false" ht="23.85" hidden="false" customHeight="false" outlineLevel="0" collapsed="false">
      <c r="A141" s="23" t="n">
        <v>140</v>
      </c>
      <c r="B141" s="23" t="s">
        <v>28</v>
      </c>
      <c r="C141" s="32" t="s">
        <v>27</v>
      </c>
      <c r="D141" s="79" t="s">
        <v>224</v>
      </c>
      <c r="E141" s="79" t="s">
        <v>231</v>
      </c>
      <c r="F141" s="23" t="n">
        <v>394</v>
      </c>
      <c r="G141" s="161" t="s">
        <v>934</v>
      </c>
      <c r="H141" s="170" t="s">
        <v>9</v>
      </c>
      <c r="I141" s="176" t="s">
        <v>15</v>
      </c>
      <c r="J141" s="174" t="s">
        <v>669</v>
      </c>
      <c r="K141" s="23"/>
      <c r="L141" s="165" t="s">
        <v>935</v>
      </c>
      <c r="M141" s="166" t="s">
        <v>656</v>
      </c>
      <c r="N141" s="167"/>
      <c r="O141" s="166" t="n">
        <v>0</v>
      </c>
      <c r="P141" s="168" t="str">
        <f aca="false">IF(N141="","",N141+CHOOSE(MIN(O141,3)+1,3,7,21,45))</f>
        <v/>
      </c>
      <c r="Q141" s="166"/>
      <c r="R141" s="169"/>
    </row>
    <row r="142" customFormat="false" ht="23.85" hidden="false" customHeight="false" outlineLevel="0" collapsed="false">
      <c r="A142" s="23" t="n">
        <v>141</v>
      </c>
      <c r="B142" s="23" t="s">
        <v>28</v>
      </c>
      <c r="C142" s="32" t="s">
        <v>27</v>
      </c>
      <c r="D142" s="79" t="s">
        <v>224</v>
      </c>
      <c r="E142" s="79" t="s">
        <v>231</v>
      </c>
      <c r="F142" s="23" t="n">
        <v>71</v>
      </c>
      <c r="G142" s="161" t="s">
        <v>936</v>
      </c>
      <c r="H142" s="170" t="s">
        <v>9</v>
      </c>
      <c r="I142" s="171" t="s">
        <v>653</v>
      </c>
      <c r="J142" s="172" t="s">
        <v>654</v>
      </c>
      <c r="K142" s="23"/>
      <c r="L142" s="165" t="s">
        <v>937</v>
      </c>
      <c r="M142" s="166" t="s">
        <v>656</v>
      </c>
      <c r="N142" s="167"/>
      <c r="O142" s="166" t="n">
        <v>0</v>
      </c>
      <c r="P142" s="168" t="str">
        <f aca="false">IF(N142="","",N142+CHOOSE(MIN(O142,3)+1,3,7,21,45))</f>
        <v/>
      </c>
      <c r="Q142" s="166"/>
      <c r="R142" s="169"/>
    </row>
    <row r="143" customFormat="false" ht="23.85" hidden="false" customHeight="false" outlineLevel="0" collapsed="false">
      <c r="A143" s="23" t="n">
        <v>142</v>
      </c>
      <c r="B143" s="23" t="s">
        <v>28</v>
      </c>
      <c r="C143" s="32" t="s">
        <v>27</v>
      </c>
      <c r="D143" s="79" t="s">
        <v>224</v>
      </c>
      <c r="E143" s="79" t="s">
        <v>231</v>
      </c>
      <c r="F143" s="23" t="n">
        <v>227</v>
      </c>
      <c r="G143" s="161" t="s">
        <v>938</v>
      </c>
      <c r="H143" s="170" t="s">
        <v>9</v>
      </c>
      <c r="I143" s="176" t="s">
        <v>15</v>
      </c>
      <c r="J143" s="174" t="s">
        <v>669</v>
      </c>
      <c r="K143" s="23"/>
      <c r="L143" s="165" t="s">
        <v>939</v>
      </c>
      <c r="M143" s="166" t="s">
        <v>656</v>
      </c>
      <c r="N143" s="167"/>
      <c r="O143" s="166" t="n">
        <v>0</v>
      </c>
      <c r="P143" s="168" t="str">
        <f aca="false">IF(N143="","",N143+CHOOSE(MIN(O143,3)+1,3,7,21,45))</f>
        <v/>
      </c>
      <c r="Q143" s="166"/>
      <c r="R143" s="169"/>
    </row>
    <row r="144" customFormat="false" ht="23.85" hidden="false" customHeight="false" outlineLevel="0" collapsed="false">
      <c r="A144" s="23" t="n">
        <v>143</v>
      </c>
      <c r="B144" s="23" t="s">
        <v>28</v>
      </c>
      <c r="C144" s="32" t="s">
        <v>27</v>
      </c>
      <c r="D144" s="79" t="s">
        <v>224</v>
      </c>
      <c r="E144" s="79" t="s">
        <v>231</v>
      </c>
      <c r="F144" s="23" t="n">
        <v>224</v>
      </c>
      <c r="G144" s="161" t="s">
        <v>940</v>
      </c>
      <c r="H144" s="175" t="s">
        <v>11</v>
      </c>
      <c r="I144" s="171" t="s">
        <v>653</v>
      </c>
      <c r="J144" s="172" t="s">
        <v>654</v>
      </c>
      <c r="K144" s="23"/>
      <c r="L144" s="165" t="s">
        <v>941</v>
      </c>
      <c r="M144" s="166" t="s">
        <v>656</v>
      </c>
      <c r="N144" s="167"/>
      <c r="O144" s="166" t="n">
        <v>0</v>
      </c>
      <c r="P144" s="168" t="str">
        <f aca="false">IF(N144="","",N144+CHOOSE(MIN(O144,3)+1,3,7,21,45))</f>
        <v/>
      </c>
      <c r="Q144" s="166"/>
      <c r="R144" s="169"/>
    </row>
    <row r="145" customFormat="false" ht="15" hidden="false" customHeight="false" outlineLevel="0" collapsed="false">
      <c r="A145" s="23" t="n">
        <v>144</v>
      </c>
      <c r="B145" s="23" t="s">
        <v>28</v>
      </c>
      <c r="C145" s="32" t="s">
        <v>27</v>
      </c>
      <c r="D145" s="79" t="s">
        <v>234</v>
      </c>
      <c r="E145" s="79" t="s">
        <v>235</v>
      </c>
      <c r="F145" s="23" t="n">
        <v>496</v>
      </c>
      <c r="G145" s="161" t="s">
        <v>942</v>
      </c>
      <c r="H145" s="162" t="s">
        <v>7</v>
      </c>
      <c r="I145" s="171" t="s">
        <v>653</v>
      </c>
      <c r="J145" s="172" t="s">
        <v>654</v>
      </c>
      <c r="K145" s="23"/>
      <c r="L145" s="165" t="s">
        <v>943</v>
      </c>
      <c r="M145" s="166" t="s">
        <v>656</v>
      </c>
      <c r="N145" s="167"/>
      <c r="O145" s="166" t="n">
        <v>0</v>
      </c>
      <c r="P145" s="168" t="str">
        <f aca="false">IF(N145="","",N145+CHOOSE(MIN(O145,3)+1,3,7,21,45))</f>
        <v/>
      </c>
      <c r="Q145" s="166"/>
      <c r="R145" s="169"/>
    </row>
    <row r="146" customFormat="false" ht="15" hidden="false" customHeight="false" outlineLevel="0" collapsed="false">
      <c r="A146" s="23" t="n">
        <v>145</v>
      </c>
      <c r="B146" s="23" t="s">
        <v>28</v>
      </c>
      <c r="C146" s="32" t="s">
        <v>27</v>
      </c>
      <c r="D146" s="79" t="s">
        <v>234</v>
      </c>
      <c r="E146" s="79" t="s">
        <v>235</v>
      </c>
      <c r="F146" s="23" t="n">
        <v>739</v>
      </c>
      <c r="G146" s="161" t="s">
        <v>944</v>
      </c>
      <c r="H146" s="170" t="s">
        <v>9</v>
      </c>
      <c r="I146" s="173" t="s">
        <v>668</v>
      </c>
      <c r="J146" s="174" t="s">
        <v>669</v>
      </c>
      <c r="K146" s="23"/>
      <c r="L146" s="165" t="s">
        <v>945</v>
      </c>
      <c r="M146" s="166" t="s">
        <v>656</v>
      </c>
      <c r="N146" s="167"/>
      <c r="O146" s="166" t="n">
        <v>0</v>
      </c>
      <c r="P146" s="168" t="str">
        <f aca="false">IF(N146="","",N146+CHOOSE(MIN(O146,3)+1,3,7,21,45))</f>
        <v/>
      </c>
      <c r="Q146" s="166"/>
      <c r="R146" s="169"/>
    </row>
    <row r="147" customFormat="false" ht="15" hidden="false" customHeight="false" outlineLevel="0" collapsed="false">
      <c r="A147" s="23" t="n">
        <v>146</v>
      </c>
      <c r="B147" s="23" t="s">
        <v>28</v>
      </c>
      <c r="C147" s="32" t="s">
        <v>27</v>
      </c>
      <c r="D147" s="79" t="s">
        <v>234</v>
      </c>
      <c r="E147" s="79" t="s">
        <v>235</v>
      </c>
      <c r="F147" s="23" t="n">
        <v>503</v>
      </c>
      <c r="G147" s="161" t="s">
        <v>946</v>
      </c>
      <c r="H147" s="170" t="s">
        <v>9</v>
      </c>
      <c r="I147" s="171" t="s">
        <v>653</v>
      </c>
      <c r="J147" s="172" t="s">
        <v>654</v>
      </c>
      <c r="K147" s="23"/>
      <c r="L147" s="165" t="s">
        <v>947</v>
      </c>
      <c r="M147" s="166" t="s">
        <v>656</v>
      </c>
      <c r="N147" s="167"/>
      <c r="O147" s="166" t="n">
        <v>0</v>
      </c>
      <c r="P147" s="168" t="str">
        <f aca="false">IF(N147="","",N147+CHOOSE(MIN(O147,3)+1,3,7,21,45))</f>
        <v/>
      </c>
      <c r="Q147" s="166"/>
      <c r="R147" s="169"/>
    </row>
    <row r="148" customFormat="false" ht="15" hidden="false" customHeight="false" outlineLevel="0" collapsed="false">
      <c r="A148" s="23" t="n">
        <v>147</v>
      </c>
      <c r="B148" s="23" t="s">
        <v>28</v>
      </c>
      <c r="C148" s="32" t="s">
        <v>27</v>
      </c>
      <c r="D148" s="79" t="s">
        <v>234</v>
      </c>
      <c r="E148" s="79" t="s">
        <v>235</v>
      </c>
      <c r="F148" s="23" t="n">
        <v>901</v>
      </c>
      <c r="G148" s="161" t="s">
        <v>948</v>
      </c>
      <c r="H148" s="170" t="s">
        <v>9</v>
      </c>
      <c r="I148" s="171" t="s">
        <v>653</v>
      </c>
      <c r="J148" s="172" t="s">
        <v>654</v>
      </c>
      <c r="K148" s="23"/>
      <c r="L148" s="165" t="s">
        <v>949</v>
      </c>
      <c r="M148" s="166" t="s">
        <v>656</v>
      </c>
      <c r="N148" s="167"/>
      <c r="O148" s="166" t="n">
        <v>0</v>
      </c>
      <c r="P148" s="168" t="str">
        <f aca="false">IF(N148="","",N148+CHOOSE(MIN(O148,3)+1,3,7,21,45))</f>
        <v/>
      </c>
      <c r="Q148" s="166"/>
      <c r="R148" s="169"/>
    </row>
    <row r="149" customFormat="false" ht="15" hidden="false" customHeight="false" outlineLevel="0" collapsed="false">
      <c r="A149" s="23" t="n">
        <v>148</v>
      </c>
      <c r="B149" s="23" t="s">
        <v>28</v>
      </c>
      <c r="C149" s="32" t="s">
        <v>27</v>
      </c>
      <c r="D149" s="79" t="s">
        <v>234</v>
      </c>
      <c r="E149" s="79" t="s">
        <v>235</v>
      </c>
      <c r="F149" s="23" t="n">
        <v>853</v>
      </c>
      <c r="G149" s="161" t="s">
        <v>950</v>
      </c>
      <c r="H149" s="170" t="s">
        <v>9</v>
      </c>
      <c r="I149" s="173" t="s">
        <v>668</v>
      </c>
      <c r="J149" s="174" t="s">
        <v>669</v>
      </c>
      <c r="K149" s="23"/>
      <c r="L149" s="165" t="s">
        <v>951</v>
      </c>
      <c r="M149" s="166" t="s">
        <v>656</v>
      </c>
      <c r="N149" s="167"/>
      <c r="O149" s="166" t="n">
        <v>0</v>
      </c>
      <c r="P149" s="168" t="str">
        <f aca="false">IF(N149="","",N149+CHOOSE(MIN(O149,3)+1,3,7,21,45))</f>
        <v/>
      </c>
      <c r="Q149" s="166"/>
      <c r="R149" s="169"/>
    </row>
    <row r="150" customFormat="false" ht="15" hidden="false" customHeight="false" outlineLevel="0" collapsed="false">
      <c r="A150" s="23" t="n">
        <v>149</v>
      </c>
      <c r="B150" s="23" t="s">
        <v>28</v>
      </c>
      <c r="C150" s="32" t="s">
        <v>27</v>
      </c>
      <c r="D150" s="79" t="s">
        <v>234</v>
      </c>
      <c r="E150" s="79" t="s">
        <v>238</v>
      </c>
      <c r="F150" s="23" t="n">
        <v>84</v>
      </c>
      <c r="G150" s="161" t="s">
        <v>952</v>
      </c>
      <c r="H150" s="175" t="s">
        <v>11</v>
      </c>
      <c r="I150" s="173" t="s">
        <v>668</v>
      </c>
      <c r="J150" s="174" t="s">
        <v>669</v>
      </c>
      <c r="K150" s="23"/>
      <c r="L150" s="165" t="s">
        <v>953</v>
      </c>
      <c r="M150" s="166" t="s">
        <v>656</v>
      </c>
      <c r="N150" s="167"/>
      <c r="O150" s="166" t="n">
        <v>0</v>
      </c>
      <c r="P150" s="168" t="str">
        <f aca="false">IF(N150="","",N150+CHOOSE(MIN(O150,3)+1,3,7,21,45))</f>
        <v/>
      </c>
      <c r="Q150" s="166"/>
      <c r="R150" s="169"/>
    </row>
    <row r="151" customFormat="false" ht="15" hidden="false" customHeight="false" outlineLevel="0" collapsed="false">
      <c r="A151" s="23" t="n">
        <v>150</v>
      </c>
      <c r="B151" s="23" t="s">
        <v>28</v>
      </c>
      <c r="C151" s="32" t="s">
        <v>27</v>
      </c>
      <c r="D151" s="79" t="s">
        <v>234</v>
      </c>
      <c r="E151" s="79" t="s">
        <v>238</v>
      </c>
      <c r="F151" s="23" t="n">
        <v>85</v>
      </c>
      <c r="G151" s="161" t="s">
        <v>954</v>
      </c>
      <c r="H151" s="175" t="s">
        <v>11</v>
      </c>
      <c r="I151" s="176" t="s">
        <v>15</v>
      </c>
      <c r="J151" s="174" t="s">
        <v>669</v>
      </c>
      <c r="K151" s="23"/>
      <c r="L151" s="165" t="s">
        <v>955</v>
      </c>
      <c r="M151" s="166" t="s">
        <v>656</v>
      </c>
      <c r="N151" s="167"/>
      <c r="O151" s="166" t="n">
        <v>0</v>
      </c>
      <c r="P151" s="168" t="str">
        <f aca="false">IF(N151="","",N151+CHOOSE(MIN(O151,3)+1,3,7,21,45))</f>
        <v/>
      </c>
      <c r="Q151" s="166"/>
      <c r="R151" s="169"/>
    </row>
    <row r="152" customFormat="false" ht="15" hidden="false" customHeight="false" outlineLevel="0" collapsed="false">
      <c r="A152" s="23" t="n">
        <v>151</v>
      </c>
      <c r="B152" s="23" t="s">
        <v>28</v>
      </c>
      <c r="C152" s="32" t="s">
        <v>27</v>
      </c>
      <c r="D152" s="79" t="s">
        <v>234</v>
      </c>
      <c r="E152" s="79" t="s">
        <v>241</v>
      </c>
      <c r="F152" s="23" t="n">
        <v>907</v>
      </c>
      <c r="G152" s="161" t="s">
        <v>956</v>
      </c>
      <c r="H152" s="170" t="s">
        <v>9</v>
      </c>
      <c r="I152" s="171" t="s">
        <v>653</v>
      </c>
      <c r="J152" s="172" t="s">
        <v>654</v>
      </c>
      <c r="K152" s="23"/>
      <c r="L152" s="165" t="s">
        <v>957</v>
      </c>
      <c r="M152" s="166" t="s">
        <v>656</v>
      </c>
      <c r="N152" s="167"/>
      <c r="O152" s="166" t="n">
        <v>0</v>
      </c>
      <c r="P152" s="168" t="str">
        <f aca="false">IF(N152="","",N152+CHOOSE(MIN(O152,3)+1,3,7,21,45))</f>
        <v/>
      </c>
      <c r="Q152" s="166"/>
      <c r="R152" s="169"/>
    </row>
    <row r="153" customFormat="false" ht="15" hidden="false" customHeight="false" outlineLevel="0" collapsed="false">
      <c r="A153" s="23" t="n">
        <v>152</v>
      </c>
      <c r="B153" s="23" t="s">
        <v>28</v>
      </c>
      <c r="C153" s="32" t="s">
        <v>27</v>
      </c>
      <c r="D153" s="79" t="s">
        <v>234</v>
      </c>
      <c r="E153" s="79" t="s">
        <v>241</v>
      </c>
      <c r="F153" s="23" t="n">
        <v>2104</v>
      </c>
      <c r="G153" s="161" t="s">
        <v>958</v>
      </c>
      <c r="H153" s="170" t="s">
        <v>9</v>
      </c>
      <c r="I153" s="171" t="s">
        <v>653</v>
      </c>
      <c r="J153" s="172" t="s">
        <v>654</v>
      </c>
      <c r="K153" s="23"/>
      <c r="L153" s="165" t="s">
        <v>959</v>
      </c>
      <c r="M153" s="166" t="s">
        <v>656</v>
      </c>
      <c r="N153" s="167"/>
      <c r="O153" s="166" t="n">
        <v>0</v>
      </c>
      <c r="P153" s="168" t="str">
        <f aca="false">IF(N153="","",N153+CHOOSE(MIN(O153,3)+1,3,7,21,45))</f>
        <v/>
      </c>
      <c r="Q153" s="166"/>
      <c r="R153" s="169"/>
    </row>
    <row r="154" customFormat="false" ht="15" hidden="false" customHeight="false" outlineLevel="0" collapsed="false">
      <c r="A154" s="23" t="n">
        <v>153</v>
      </c>
      <c r="B154" s="23" t="s">
        <v>28</v>
      </c>
      <c r="C154" s="32" t="s">
        <v>27</v>
      </c>
      <c r="D154" s="79" t="s">
        <v>234</v>
      </c>
      <c r="E154" s="79" t="s">
        <v>244</v>
      </c>
      <c r="F154" s="23" t="n">
        <v>402</v>
      </c>
      <c r="G154" s="161" t="s">
        <v>960</v>
      </c>
      <c r="H154" s="170" t="s">
        <v>9</v>
      </c>
      <c r="I154" s="176" t="s">
        <v>15</v>
      </c>
      <c r="J154" s="174" t="s">
        <v>669</v>
      </c>
      <c r="K154" s="23"/>
      <c r="L154" s="165" t="s">
        <v>961</v>
      </c>
      <c r="M154" s="166" t="s">
        <v>656</v>
      </c>
      <c r="N154" s="167"/>
      <c r="O154" s="166" t="n">
        <v>0</v>
      </c>
      <c r="P154" s="168" t="str">
        <f aca="false">IF(N154="","",N154+CHOOSE(MIN(O154,3)+1,3,7,21,45))</f>
        <v/>
      </c>
      <c r="Q154" s="166"/>
      <c r="R154" s="169"/>
    </row>
    <row r="155" customFormat="false" ht="15" hidden="false" customHeight="false" outlineLevel="0" collapsed="false">
      <c r="A155" s="23" t="n">
        <v>154</v>
      </c>
      <c r="B155" s="23" t="s">
        <v>28</v>
      </c>
      <c r="C155" s="32" t="s">
        <v>27</v>
      </c>
      <c r="D155" s="79" t="s">
        <v>234</v>
      </c>
      <c r="E155" s="79" t="s">
        <v>244</v>
      </c>
      <c r="F155" s="23" t="n">
        <v>316</v>
      </c>
      <c r="G155" s="161" t="s">
        <v>962</v>
      </c>
      <c r="H155" s="170" t="s">
        <v>9</v>
      </c>
      <c r="I155" s="171" t="s">
        <v>653</v>
      </c>
      <c r="J155" s="172" t="s">
        <v>654</v>
      </c>
      <c r="K155" s="23"/>
      <c r="L155" s="165" t="s">
        <v>963</v>
      </c>
      <c r="M155" s="166" t="s">
        <v>656</v>
      </c>
      <c r="N155" s="167"/>
      <c r="O155" s="166" t="n">
        <v>0</v>
      </c>
      <c r="P155" s="168" t="str">
        <f aca="false">IF(N155="","",N155+CHOOSE(MIN(O155,3)+1,3,7,21,45))</f>
        <v/>
      </c>
      <c r="Q155" s="166"/>
      <c r="R155" s="169"/>
    </row>
    <row r="156" customFormat="false" ht="15" hidden="false" customHeight="false" outlineLevel="0" collapsed="false">
      <c r="A156" s="23" t="n">
        <v>155</v>
      </c>
      <c r="B156" s="23" t="s">
        <v>28</v>
      </c>
      <c r="C156" s="32" t="s">
        <v>27</v>
      </c>
      <c r="D156" s="79" t="s">
        <v>247</v>
      </c>
      <c r="E156" s="79" t="s">
        <v>248</v>
      </c>
      <c r="F156" s="23" t="n">
        <v>232</v>
      </c>
      <c r="G156" s="161" t="s">
        <v>964</v>
      </c>
      <c r="H156" s="162" t="s">
        <v>7</v>
      </c>
      <c r="I156" s="176" t="s">
        <v>15</v>
      </c>
      <c r="J156" s="174" t="s">
        <v>669</v>
      </c>
      <c r="K156" s="23"/>
      <c r="L156" s="165" t="s">
        <v>965</v>
      </c>
      <c r="M156" s="166" t="s">
        <v>656</v>
      </c>
      <c r="N156" s="167"/>
      <c r="O156" s="166" t="n">
        <v>0</v>
      </c>
      <c r="P156" s="168" t="str">
        <f aca="false">IF(N156="","",N156+CHOOSE(MIN(O156,3)+1,3,7,21,45))</f>
        <v/>
      </c>
      <c r="Q156" s="166"/>
      <c r="R156" s="169"/>
    </row>
    <row r="157" customFormat="false" ht="15" hidden="false" customHeight="false" outlineLevel="0" collapsed="false">
      <c r="A157" s="23" t="n">
        <v>156</v>
      </c>
      <c r="B157" s="23" t="s">
        <v>28</v>
      </c>
      <c r="C157" s="32" t="s">
        <v>27</v>
      </c>
      <c r="D157" s="79" t="s">
        <v>247</v>
      </c>
      <c r="E157" s="79" t="s">
        <v>248</v>
      </c>
      <c r="F157" s="23" t="n">
        <v>225</v>
      </c>
      <c r="G157" s="161" t="s">
        <v>966</v>
      </c>
      <c r="H157" s="162" t="s">
        <v>7</v>
      </c>
      <c r="I157" s="171" t="s">
        <v>653</v>
      </c>
      <c r="J157" s="172" t="s">
        <v>654</v>
      </c>
      <c r="K157" s="23"/>
      <c r="L157" s="165" t="s">
        <v>967</v>
      </c>
      <c r="M157" s="166" t="s">
        <v>656</v>
      </c>
      <c r="N157" s="167"/>
      <c r="O157" s="166" t="n">
        <v>0</v>
      </c>
      <c r="P157" s="168" t="str">
        <f aca="false">IF(N157="","",N157+CHOOSE(MIN(O157,3)+1,3,7,21,45))</f>
        <v/>
      </c>
      <c r="Q157" s="166"/>
      <c r="R157" s="169"/>
    </row>
    <row r="158" customFormat="false" ht="15" hidden="false" customHeight="false" outlineLevel="0" collapsed="false">
      <c r="A158" s="23" t="n">
        <v>157</v>
      </c>
      <c r="B158" s="23" t="s">
        <v>28</v>
      </c>
      <c r="C158" s="32" t="s">
        <v>27</v>
      </c>
      <c r="D158" s="79" t="s">
        <v>247</v>
      </c>
      <c r="E158" s="79" t="s">
        <v>248</v>
      </c>
      <c r="F158" s="23" t="n">
        <v>155</v>
      </c>
      <c r="G158" s="161" t="s">
        <v>968</v>
      </c>
      <c r="H158" s="170" t="s">
        <v>9</v>
      </c>
      <c r="I158" s="173" t="s">
        <v>668</v>
      </c>
      <c r="J158" s="174" t="s">
        <v>669</v>
      </c>
      <c r="K158" s="23"/>
      <c r="L158" s="165" t="s">
        <v>969</v>
      </c>
      <c r="M158" s="166" t="s">
        <v>656</v>
      </c>
      <c r="N158" s="167"/>
      <c r="O158" s="166" t="n">
        <v>0</v>
      </c>
      <c r="P158" s="168" t="str">
        <f aca="false">IF(N158="","",N158+CHOOSE(MIN(O158,3)+1,3,7,21,45))</f>
        <v/>
      </c>
      <c r="Q158" s="166"/>
      <c r="R158" s="169"/>
    </row>
    <row r="159" customFormat="false" ht="15" hidden="false" customHeight="false" outlineLevel="0" collapsed="false">
      <c r="A159" s="23" t="n">
        <v>158</v>
      </c>
      <c r="B159" s="23" t="s">
        <v>28</v>
      </c>
      <c r="C159" s="32" t="s">
        <v>27</v>
      </c>
      <c r="D159" s="79" t="s">
        <v>247</v>
      </c>
      <c r="E159" s="79" t="s">
        <v>248</v>
      </c>
      <c r="F159" s="23" t="n">
        <v>895</v>
      </c>
      <c r="G159" s="161" t="s">
        <v>970</v>
      </c>
      <c r="H159" s="175" t="s">
        <v>11</v>
      </c>
      <c r="I159" s="171" t="s">
        <v>653</v>
      </c>
      <c r="J159" s="172" t="s">
        <v>654</v>
      </c>
      <c r="K159" s="23"/>
      <c r="L159" s="165" t="s">
        <v>971</v>
      </c>
      <c r="M159" s="166" t="s">
        <v>656</v>
      </c>
      <c r="N159" s="167"/>
      <c r="O159" s="166" t="n">
        <v>0</v>
      </c>
      <c r="P159" s="168" t="str">
        <f aca="false">IF(N159="","",N159+CHOOSE(MIN(O159,3)+1,3,7,21,45))</f>
        <v/>
      </c>
      <c r="Q159" s="166"/>
      <c r="R159" s="169"/>
    </row>
    <row r="160" customFormat="false" ht="15" hidden="false" customHeight="false" outlineLevel="0" collapsed="false">
      <c r="A160" s="23" t="n">
        <v>159</v>
      </c>
      <c r="B160" s="23" t="s">
        <v>28</v>
      </c>
      <c r="C160" s="33" t="s">
        <v>29</v>
      </c>
      <c r="D160" s="84" t="s">
        <v>253</v>
      </c>
      <c r="E160" s="84" t="s">
        <v>254</v>
      </c>
      <c r="F160" s="23" t="n">
        <v>933</v>
      </c>
      <c r="G160" s="161" t="s">
        <v>972</v>
      </c>
      <c r="H160" s="162" t="s">
        <v>7</v>
      </c>
      <c r="I160" s="171" t="s">
        <v>653</v>
      </c>
      <c r="J160" s="172" t="s">
        <v>654</v>
      </c>
      <c r="K160" s="23"/>
      <c r="L160" s="165" t="s">
        <v>973</v>
      </c>
      <c r="M160" s="166" t="s">
        <v>656</v>
      </c>
      <c r="N160" s="167"/>
      <c r="O160" s="166" t="n">
        <v>0</v>
      </c>
      <c r="P160" s="168" t="str">
        <f aca="false">IF(N160="","",N160+CHOOSE(MIN(O160,3)+1,3,7,21,45))</f>
        <v/>
      </c>
      <c r="Q160" s="166"/>
      <c r="R160" s="169"/>
    </row>
    <row r="161" customFormat="false" ht="15" hidden="false" customHeight="false" outlineLevel="0" collapsed="false">
      <c r="A161" s="23" t="n">
        <v>160</v>
      </c>
      <c r="B161" s="23" t="s">
        <v>28</v>
      </c>
      <c r="C161" s="33" t="s">
        <v>29</v>
      </c>
      <c r="D161" s="84" t="s">
        <v>253</v>
      </c>
      <c r="E161" s="84" t="s">
        <v>254</v>
      </c>
      <c r="F161" s="23" t="n">
        <v>649</v>
      </c>
      <c r="G161" s="161" t="s">
        <v>974</v>
      </c>
      <c r="H161" s="170" t="s">
        <v>9</v>
      </c>
      <c r="I161" s="171" t="s">
        <v>653</v>
      </c>
      <c r="J161" s="172" t="s">
        <v>654</v>
      </c>
      <c r="K161" s="23"/>
      <c r="L161" s="165" t="s">
        <v>975</v>
      </c>
      <c r="M161" s="166" t="s">
        <v>656</v>
      </c>
      <c r="N161" s="167"/>
      <c r="O161" s="166" t="n">
        <v>0</v>
      </c>
      <c r="P161" s="168" t="str">
        <f aca="false">IF(N161="","",N161+CHOOSE(MIN(O161,3)+1,3,7,21,45))</f>
        <v/>
      </c>
      <c r="Q161" s="166"/>
      <c r="R161" s="169"/>
    </row>
    <row r="162" customFormat="false" ht="15" hidden="false" customHeight="false" outlineLevel="0" collapsed="false">
      <c r="A162" s="23" t="n">
        <v>161</v>
      </c>
      <c r="B162" s="23" t="s">
        <v>28</v>
      </c>
      <c r="C162" s="33" t="s">
        <v>29</v>
      </c>
      <c r="D162" s="84" t="s">
        <v>253</v>
      </c>
      <c r="E162" s="84" t="s">
        <v>254</v>
      </c>
      <c r="F162" s="23" t="n">
        <v>950</v>
      </c>
      <c r="G162" s="161" t="s">
        <v>976</v>
      </c>
      <c r="H162" s="170" t="s">
        <v>9</v>
      </c>
      <c r="I162" s="171" t="s">
        <v>653</v>
      </c>
      <c r="J162" s="172" t="s">
        <v>654</v>
      </c>
      <c r="K162" s="23"/>
      <c r="L162" s="165" t="s">
        <v>977</v>
      </c>
      <c r="M162" s="166" t="s">
        <v>656</v>
      </c>
      <c r="N162" s="167"/>
      <c r="O162" s="166" t="n">
        <v>0</v>
      </c>
      <c r="P162" s="168" t="str">
        <f aca="false">IF(N162="","",N162+CHOOSE(MIN(O162,3)+1,3,7,21,45))</f>
        <v/>
      </c>
      <c r="Q162" s="166"/>
      <c r="R162" s="169"/>
    </row>
    <row r="163" customFormat="false" ht="15" hidden="false" customHeight="false" outlineLevel="0" collapsed="false">
      <c r="A163" s="23" t="n">
        <v>162</v>
      </c>
      <c r="B163" s="23" t="s">
        <v>28</v>
      </c>
      <c r="C163" s="33" t="s">
        <v>29</v>
      </c>
      <c r="D163" s="84" t="s">
        <v>253</v>
      </c>
      <c r="E163" s="84" t="s">
        <v>257</v>
      </c>
      <c r="F163" s="23" t="n">
        <v>622</v>
      </c>
      <c r="G163" s="161" t="s">
        <v>978</v>
      </c>
      <c r="H163" s="170" t="s">
        <v>9</v>
      </c>
      <c r="I163" s="176" t="s">
        <v>15</v>
      </c>
      <c r="J163" s="174" t="s">
        <v>669</v>
      </c>
      <c r="K163" s="23"/>
      <c r="L163" s="165" t="s">
        <v>979</v>
      </c>
      <c r="M163" s="166" t="s">
        <v>656</v>
      </c>
      <c r="N163" s="167"/>
      <c r="O163" s="166" t="n">
        <v>0</v>
      </c>
      <c r="P163" s="168" t="str">
        <f aca="false">IF(N163="","",N163+CHOOSE(MIN(O163,3)+1,3,7,21,45))</f>
        <v/>
      </c>
      <c r="Q163" s="166"/>
      <c r="R163" s="169"/>
    </row>
    <row r="164" customFormat="false" ht="15" hidden="false" customHeight="false" outlineLevel="0" collapsed="false">
      <c r="A164" s="23" t="n">
        <v>163</v>
      </c>
      <c r="B164" s="23" t="s">
        <v>28</v>
      </c>
      <c r="C164" s="33" t="s">
        <v>29</v>
      </c>
      <c r="D164" s="84" t="s">
        <v>253</v>
      </c>
      <c r="E164" s="84" t="s">
        <v>257</v>
      </c>
      <c r="F164" s="23" t="n">
        <v>641</v>
      </c>
      <c r="G164" s="161" t="s">
        <v>980</v>
      </c>
      <c r="H164" s="170" t="s">
        <v>9</v>
      </c>
      <c r="I164" s="171" t="s">
        <v>653</v>
      </c>
      <c r="J164" s="172" t="s">
        <v>654</v>
      </c>
      <c r="K164" s="23"/>
      <c r="L164" s="165" t="s">
        <v>981</v>
      </c>
      <c r="M164" s="166" t="s">
        <v>656</v>
      </c>
      <c r="N164" s="167"/>
      <c r="O164" s="166" t="n">
        <v>0</v>
      </c>
      <c r="P164" s="168" t="str">
        <f aca="false">IF(N164="","",N164+CHOOSE(MIN(O164,3)+1,3,7,21,45))</f>
        <v/>
      </c>
      <c r="Q164" s="166"/>
      <c r="R164" s="169"/>
    </row>
    <row r="165" customFormat="false" ht="15" hidden="false" customHeight="false" outlineLevel="0" collapsed="false">
      <c r="A165" s="23" t="n">
        <v>164</v>
      </c>
      <c r="B165" s="23" t="s">
        <v>31</v>
      </c>
      <c r="C165" s="34" t="s">
        <v>30</v>
      </c>
      <c r="D165" s="89" t="s">
        <v>261</v>
      </c>
      <c r="E165" s="89" t="s">
        <v>262</v>
      </c>
      <c r="F165" s="23" t="n">
        <v>704</v>
      </c>
      <c r="G165" s="161" t="s">
        <v>30</v>
      </c>
      <c r="H165" s="162" t="s">
        <v>7</v>
      </c>
      <c r="I165" s="173" t="s">
        <v>668</v>
      </c>
      <c r="J165" s="174" t="s">
        <v>669</v>
      </c>
      <c r="K165" s="23"/>
      <c r="L165" s="165" t="s">
        <v>982</v>
      </c>
      <c r="M165" s="166" t="s">
        <v>656</v>
      </c>
      <c r="N165" s="167"/>
      <c r="O165" s="166" t="n">
        <v>0</v>
      </c>
      <c r="P165" s="168" t="str">
        <f aca="false">IF(N165="","",N165+CHOOSE(MIN(O165,3)+1,3,7,21,45))</f>
        <v/>
      </c>
      <c r="Q165" s="166"/>
      <c r="R165" s="169"/>
    </row>
    <row r="166" customFormat="false" ht="15" hidden="false" customHeight="false" outlineLevel="0" collapsed="false">
      <c r="A166" s="23" t="n">
        <v>165</v>
      </c>
      <c r="B166" s="23" t="s">
        <v>31</v>
      </c>
      <c r="C166" s="34" t="s">
        <v>30</v>
      </c>
      <c r="D166" s="89" t="s">
        <v>261</v>
      </c>
      <c r="E166" s="89" t="s">
        <v>262</v>
      </c>
      <c r="F166" s="23" t="n">
        <v>35</v>
      </c>
      <c r="G166" s="161" t="s">
        <v>983</v>
      </c>
      <c r="H166" s="162" t="s">
        <v>7</v>
      </c>
      <c r="I166" s="171" t="s">
        <v>653</v>
      </c>
      <c r="J166" s="172" t="s">
        <v>654</v>
      </c>
      <c r="K166" s="23"/>
      <c r="L166" s="165" t="s">
        <v>984</v>
      </c>
      <c r="M166" s="166" t="s">
        <v>656</v>
      </c>
      <c r="N166" s="167"/>
      <c r="O166" s="166" t="n">
        <v>0</v>
      </c>
      <c r="P166" s="168" t="str">
        <f aca="false">IF(N166="","",N166+CHOOSE(MIN(O166,3)+1,3,7,21,45))</f>
        <v/>
      </c>
      <c r="Q166" s="166"/>
      <c r="R166" s="169"/>
    </row>
    <row r="167" customFormat="false" ht="15" hidden="false" customHeight="false" outlineLevel="0" collapsed="false">
      <c r="A167" s="23" t="n">
        <v>166</v>
      </c>
      <c r="B167" s="23" t="s">
        <v>31</v>
      </c>
      <c r="C167" s="34" t="s">
        <v>30</v>
      </c>
      <c r="D167" s="89" t="s">
        <v>261</v>
      </c>
      <c r="E167" s="89" t="s">
        <v>262</v>
      </c>
      <c r="F167" s="23" t="n">
        <v>278</v>
      </c>
      <c r="G167" s="161" t="s">
        <v>985</v>
      </c>
      <c r="H167" s="162" t="s">
        <v>7</v>
      </c>
      <c r="I167" s="176" t="s">
        <v>15</v>
      </c>
      <c r="J167" s="174" t="s">
        <v>669</v>
      </c>
      <c r="K167" s="23"/>
      <c r="L167" s="165" t="s">
        <v>986</v>
      </c>
      <c r="M167" s="166" t="s">
        <v>656</v>
      </c>
      <c r="N167" s="167"/>
      <c r="O167" s="166" t="n">
        <v>0</v>
      </c>
      <c r="P167" s="168" t="str">
        <f aca="false">IF(N167="","",N167+CHOOSE(MIN(O167,3)+1,3,7,21,45))</f>
        <v/>
      </c>
      <c r="Q167" s="166"/>
      <c r="R167" s="169"/>
    </row>
    <row r="168" customFormat="false" ht="15" hidden="false" customHeight="false" outlineLevel="0" collapsed="false">
      <c r="A168" s="23" t="n">
        <v>167</v>
      </c>
      <c r="B168" s="23" t="s">
        <v>31</v>
      </c>
      <c r="C168" s="34" t="s">
        <v>30</v>
      </c>
      <c r="D168" s="89" t="s">
        <v>261</v>
      </c>
      <c r="E168" s="89" t="s">
        <v>262</v>
      </c>
      <c r="F168" s="23" t="n">
        <v>69</v>
      </c>
      <c r="G168" s="161" t="s">
        <v>987</v>
      </c>
      <c r="H168" s="162" t="s">
        <v>7</v>
      </c>
      <c r="I168" s="171" t="s">
        <v>653</v>
      </c>
      <c r="J168" s="172" t="s">
        <v>654</v>
      </c>
      <c r="K168" s="23"/>
      <c r="L168" s="165" t="s">
        <v>988</v>
      </c>
      <c r="M168" s="166" t="s">
        <v>656</v>
      </c>
      <c r="N168" s="167"/>
      <c r="O168" s="166" t="n">
        <v>0</v>
      </c>
      <c r="P168" s="168" t="str">
        <f aca="false">IF(N168="","",N168+CHOOSE(MIN(O168,3)+1,3,7,21,45))</f>
        <v/>
      </c>
      <c r="Q168" s="166"/>
      <c r="R168" s="169"/>
    </row>
    <row r="169" customFormat="false" ht="15" hidden="false" customHeight="false" outlineLevel="0" collapsed="false">
      <c r="A169" s="23" t="n">
        <v>168</v>
      </c>
      <c r="B169" s="23" t="s">
        <v>31</v>
      </c>
      <c r="C169" s="34" t="s">
        <v>30</v>
      </c>
      <c r="D169" s="89" t="s">
        <v>261</v>
      </c>
      <c r="E169" s="89" t="s">
        <v>262</v>
      </c>
      <c r="F169" s="23" t="n">
        <v>744</v>
      </c>
      <c r="G169" s="161" t="s">
        <v>989</v>
      </c>
      <c r="H169" s="162" t="s">
        <v>7</v>
      </c>
      <c r="I169" s="171" t="s">
        <v>653</v>
      </c>
      <c r="J169" s="172" t="s">
        <v>654</v>
      </c>
      <c r="K169" s="23"/>
      <c r="L169" s="165" t="s">
        <v>990</v>
      </c>
      <c r="M169" s="166" t="s">
        <v>656</v>
      </c>
      <c r="N169" s="167"/>
      <c r="O169" s="166" t="n">
        <v>0</v>
      </c>
      <c r="P169" s="168" t="str">
        <f aca="false">IF(N169="","",N169+CHOOSE(MIN(O169,3)+1,3,7,21,45))</f>
        <v/>
      </c>
      <c r="Q169" s="166"/>
      <c r="R169" s="169"/>
    </row>
    <row r="170" customFormat="false" ht="15" hidden="false" customHeight="false" outlineLevel="0" collapsed="false">
      <c r="A170" s="23" t="n">
        <v>169</v>
      </c>
      <c r="B170" s="23" t="s">
        <v>31</v>
      </c>
      <c r="C170" s="34" t="s">
        <v>30</v>
      </c>
      <c r="D170" s="89" t="s">
        <v>261</v>
      </c>
      <c r="E170" s="89" t="s">
        <v>262</v>
      </c>
      <c r="F170" s="23" t="n">
        <v>34</v>
      </c>
      <c r="G170" s="161" t="s">
        <v>991</v>
      </c>
      <c r="H170" s="170" t="s">
        <v>9</v>
      </c>
      <c r="I170" s="176" t="s">
        <v>15</v>
      </c>
      <c r="J170" s="174" t="s">
        <v>669</v>
      </c>
      <c r="K170" s="23"/>
      <c r="L170" s="165" t="s">
        <v>992</v>
      </c>
      <c r="M170" s="166" t="s">
        <v>656</v>
      </c>
      <c r="N170" s="167"/>
      <c r="O170" s="166" t="n">
        <v>0</v>
      </c>
      <c r="P170" s="168" t="str">
        <f aca="false">IF(N170="","",N170+CHOOSE(MIN(O170,3)+1,3,7,21,45))</f>
        <v/>
      </c>
      <c r="Q170" s="166"/>
      <c r="R170" s="169"/>
    </row>
    <row r="171" customFormat="false" ht="15" hidden="false" customHeight="false" outlineLevel="0" collapsed="false">
      <c r="A171" s="23" t="n">
        <v>170</v>
      </c>
      <c r="B171" s="23" t="s">
        <v>31</v>
      </c>
      <c r="C171" s="34" t="s">
        <v>30</v>
      </c>
      <c r="D171" s="89" t="s">
        <v>261</v>
      </c>
      <c r="E171" s="89" t="s">
        <v>262</v>
      </c>
      <c r="F171" s="23" t="n">
        <v>658</v>
      </c>
      <c r="G171" s="161" t="s">
        <v>993</v>
      </c>
      <c r="H171" s="170" t="s">
        <v>9</v>
      </c>
      <c r="I171" s="171" t="s">
        <v>653</v>
      </c>
      <c r="J171" s="172" t="s">
        <v>654</v>
      </c>
      <c r="K171" s="23"/>
      <c r="L171" s="165" t="s">
        <v>994</v>
      </c>
      <c r="M171" s="166" t="s">
        <v>656</v>
      </c>
      <c r="N171" s="167"/>
      <c r="O171" s="166" t="n">
        <v>0</v>
      </c>
      <c r="P171" s="168" t="str">
        <f aca="false">IF(N171="","",N171+CHOOSE(MIN(O171,3)+1,3,7,21,45))</f>
        <v/>
      </c>
      <c r="Q171" s="166"/>
      <c r="R171" s="169"/>
    </row>
    <row r="172" customFormat="false" ht="15" hidden="false" customHeight="false" outlineLevel="0" collapsed="false">
      <c r="A172" s="23" t="n">
        <v>171</v>
      </c>
      <c r="B172" s="23" t="s">
        <v>31</v>
      </c>
      <c r="C172" s="34" t="s">
        <v>30</v>
      </c>
      <c r="D172" s="89" t="s">
        <v>261</v>
      </c>
      <c r="E172" s="89" t="s">
        <v>266</v>
      </c>
      <c r="F172" s="23" t="n">
        <v>33</v>
      </c>
      <c r="G172" s="161" t="s">
        <v>995</v>
      </c>
      <c r="H172" s="170" t="s">
        <v>9</v>
      </c>
      <c r="I172" s="163" t="s">
        <v>13</v>
      </c>
      <c r="J172" s="164" t="s">
        <v>649</v>
      </c>
      <c r="K172" s="23"/>
      <c r="L172" s="165" t="s">
        <v>996</v>
      </c>
      <c r="M172" s="166" t="s">
        <v>656</v>
      </c>
      <c r="N172" s="167"/>
      <c r="O172" s="166" t="n">
        <v>0</v>
      </c>
      <c r="P172" s="168" t="str">
        <f aca="false">IF(N172="","",N172+CHOOSE(MIN(O172,3)+1,3,7,21,45))</f>
        <v/>
      </c>
      <c r="Q172" s="166"/>
      <c r="R172" s="169"/>
    </row>
    <row r="173" customFormat="false" ht="15" hidden="false" customHeight="false" outlineLevel="0" collapsed="false">
      <c r="A173" s="23" t="n">
        <v>172</v>
      </c>
      <c r="B173" s="23" t="s">
        <v>31</v>
      </c>
      <c r="C173" s="34" t="s">
        <v>30</v>
      </c>
      <c r="D173" s="89" t="s">
        <v>261</v>
      </c>
      <c r="E173" s="89" t="s">
        <v>266</v>
      </c>
      <c r="F173" s="23" t="n">
        <v>153</v>
      </c>
      <c r="G173" s="161" t="s">
        <v>997</v>
      </c>
      <c r="H173" s="170" t="s">
        <v>9</v>
      </c>
      <c r="I173" s="163" t="s">
        <v>13</v>
      </c>
      <c r="J173" s="164" t="s">
        <v>649</v>
      </c>
      <c r="K173" s="23"/>
      <c r="L173" s="165" t="s">
        <v>998</v>
      </c>
      <c r="M173" s="166" t="s">
        <v>656</v>
      </c>
      <c r="N173" s="167"/>
      <c r="O173" s="166" t="n">
        <v>0</v>
      </c>
      <c r="P173" s="168" t="str">
        <f aca="false">IF(N173="","",N173+CHOOSE(MIN(O173,3)+1,3,7,21,45))</f>
        <v/>
      </c>
      <c r="Q173" s="166"/>
      <c r="R173" s="169"/>
    </row>
    <row r="174" customFormat="false" ht="15" hidden="false" customHeight="false" outlineLevel="0" collapsed="false">
      <c r="A174" s="23" t="n">
        <v>173</v>
      </c>
      <c r="B174" s="23" t="s">
        <v>31</v>
      </c>
      <c r="C174" s="34" t="s">
        <v>30</v>
      </c>
      <c r="D174" s="89" t="s">
        <v>261</v>
      </c>
      <c r="E174" s="89" t="s">
        <v>266</v>
      </c>
      <c r="F174" s="23" t="n">
        <v>81</v>
      </c>
      <c r="G174" s="161" t="s">
        <v>999</v>
      </c>
      <c r="H174" s="170" t="s">
        <v>9</v>
      </c>
      <c r="I174" s="171" t="s">
        <v>653</v>
      </c>
      <c r="J174" s="172" t="s">
        <v>654</v>
      </c>
      <c r="K174" s="23"/>
      <c r="L174" s="165" t="s">
        <v>1000</v>
      </c>
      <c r="M174" s="166" t="s">
        <v>656</v>
      </c>
      <c r="N174" s="167"/>
      <c r="O174" s="166" t="n">
        <v>0</v>
      </c>
      <c r="P174" s="168" t="str">
        <f aca="false">IF(N174="","",N174+CHOOSE(MIN(O174,3)+1,3,7,21,45))</f>
        <v/>
      </c>
      <c r="Q174" s="166"/>
      <c r="R174" s="169"/>
    </row>
    <row r="175" customFormat="false" ht="15" hidden="false" customHeight="false" outlineLevel="0" collapsed="false">
      <c r="A175" s="23" t="n">
        <v>174</v>
      </c>
      <c r="B175" s="23" t="s">
        <v>31</v>
      </c>
      <c r="C175" s="34" t="s">
        <v>30</v>
      </c>
      <c r="D175" s="89" t="s">
        <v>261</v>
      </c>
      <c r="E175" s="89" t="s">
        <v>266</v>
      </c>
      <c r="F175" s="23" t="n">
        <v>154</v>
      </c>
      <c r="G175" s="161" t="s">
        <v>1001</v>
      </c>
      <c r="H175" s="175" t="s">
        <v>11</v>
      </c>
      <c r="I175" s="171" t="s">
        <v>653</v>
      </c>
      <c r="J175" s="172" t="s">
        <v>654</v>
      </c>
      <c r="K175" s="23"/>
      <c r="L175" s="165" t="s">
        <v>1002</v>
      </c>
      <c r="M175" s="166" t="s">
        <v>656</v>
      </c>
      <c r="N175" s="167"/>
      <c r="O175" s="166" t="n">
        <v>0</v>
      </c>
      <c r="P175" s="168" t="str">
        <f aca="false">IF(N175="","",N175+CHOOSE(MIN(O175,3)+1,3,7,21,45))</f>
        <v/>
      </c>
      <c r="Q175" s="166"/>
      <c r="R175" s="169"/>
    </row>
    <row r="176" customFormat="false" ht="15" hidden="false" customHeight="false" outlineLevel="0" collapsed="false">
      <c r="A176" s="23" t="n">
        <v>175</v>
      </c>
      <c r="B176" s="23" t="s">
        <v>31</v>
      </c>
      <c r="C176" s="34" t="s">
        <v>30</v>
      </c>
      <c r="D176" s="89" t="s">
        <v>261</v>
      </c>
      <c r="E176" s="89" t="s">
        <v>269</v>
      </c>
      <c r="F176" s="23" t="n">
        <v>852</v>
      </c>
      <c r="G176" s="161" t="s">
        <v>1003</v>
      </c>
      <c r="H176" s="170" t="s">
        <v>9</v>
      </c>
      <c r="I176" s="171" t="s">
        <v>653</v>
      </c>
      <c r="J176" s="172" t="s">
        <v>654</v>
      </c>
      <c r="K176" s="23"/>
      <c r="L176" s="165" t="s">
        <v>1004</v>
      </c>
      <c r="M176" s="166" t="s">
        <v>656</v>
      </c>
      <c r="N176" s="167"/>
      <c r="O176" s="166" t="n">
        <v>0</v>
      </c>
      <c r="P176" s="168" t="str">
        <f aca="false">IF(N176="","",N176+CHOOSE(MIN(O176,3)+1,3,7,21,45))</f>
        <v/>
      </c>
      <c r="Q176" s="166"/>
      <c r="R176" s="169"/>
    </row>
    <row r="177" customFormat="false" ht="15" hidden="false" customHeight="false" outlineLevel="0" collapsed="false">
      <c r="A177" s="23" t="n">
        <v>176</v>
      </c>
      <c r="B177" s="23" t="s">
        <v>31</v>
      </c>
      <c r="C177" s="34" t="s">
        <v>30</v>
      </c>
      <c r="D177" s="89" t="s">
        <v>261</v>
      </c>
      <c r="E177" s="89" t="s">
        <v>269</v>
      </c>
      <c r="F177" s="23" t="n">
        <v>162</v>
      </c>
      <c r="G177" s="161" t="s">
        <v>1005</v>
      </c>
      <c r="H177" s="170" t="s">
        <v>9</v>
      </c>
      <c r="I177" s="176" t="s">
        <v>15</v>
      </c>
      <c r="J177" s="174" t="s">
        <v>669</v>
      </c>
      <c r="K177" s="23"/>
      <c r="L177" s="165" t="s">
        <v>1006</v>
      </c>
      <c r="M177" s="166" t="s">
        <v>656</v>
      </c>
      <c r="N177" s="167"/>
      <c r="O177" s="166" t="n">
        <v>0</v>
      </c>
      <c r="P177" s="168" t="str">
        <f aca="false">IF(N177="","",N177+CHOOSE(MIN(O177,3)+1,3,7,21,45))</f>
        <v/>
      </c>
      <c r="Q177" s="166"/>
      <c r="R177" s="169"/>
    </row>
    <row r="178" customFormat="false" ht="15" hidden="false" customHeight="false" outlineLevel="0" collapsed="false">
      <c r="A178" s="23" t="n">
        <v>177</v>
      </c>
      <c r="B178" s="23" t="s">
        <v>31</v>
      </c>
      <c r="C178" s="34" t="s">
        <v>30</v>
      </c>
      <c r="D178" s="89" t="s">
        <v>261</v>
      </c>
      <c r="E178" s="89" t="s">
        <v>269</v>
      </c>
      <c r="F178" s="23" t="n">
        <v>540</v>
      </c>
      <c r="G178" s="161" t="s">
        <v>1007</v>
      </c>
      <c r="H178" s="170" t="s">
        <v>9</v>
      </c>
      <c r="I178" s="171" t="s">
        <v>653</v>
      </c>
      <c r="J178" s="172" t="s">
        <v>654</v>
      </c>
      <c r="K178" s="23"/>
      <c r="L178" s="165" t="s">
        <v>1008</v>
      </c>
      <c r="M178" s="166" t="s">
        <v>656</v>
      </c>
      <c r="N178" s="167"/>
      <c r="O178" s="166" t="n">
        <v>0</v>
      </c>
      <c r="P178" s="168" t="str">
        <f aca="false">IF(N178="","",N178+CHOOSE(MIN(O178,3)+1,3,7,21,45))</f>
        <v/>
      </c>
      <c r="Q178" s="166"/>
      <c r="R178" s="169"/>
    </row>
    <row r="179" customFormat="false" ht="15" hidden="false" customHeight="false" outlineLevel="0" collapsed="false">
      <c r="A179" s="23" t="n">
        <v>178</v>
      </c>
      <c r="B179" s="23" t="s">
        <v>31</v>
      </c>
      <c r="C179" s="34" t="s">
        <v>30</v>
      </c>
      <c r="D179" s="89" t="s">
        <v>261</v>
      </c>
      <c r="E179" s="89" t="s">
        <v>269</v>
      </c>
      <c r="F179" s="23" t="n">
        <v>1095</v>
      </c>
      <c r="G179" s="161" t="s">
        <v>1009</v>
      </c>
      <c r="H179" s="175" t="s">
        <v>11</v>
      </c>
      <c r="I179" s="171" t="s">
        <v>653</v>
      </c>
      <c r="J179" s="172" t="s">
        <v>654</v>
      </c>
      <c r="K179" s="23"/>
      <c r="L179" s="165" t="s">
        <v>1010</v>
      </c>
      <c r="M179" s="166" t="s">
        <v>656</v>
      </c>
      <c r="N179" s="167"/>
      <c r="O179" s="166" t="n">
        <v>0</v>
      </c>
      <c r="P179" s="168" t="str">
        <f aca="false">IF(N179="","",N179+CHOOSE(MIN(O179,3)+1,3,7,21,45))</f>
        <v/>
      </c>
      <c r="Q179" s="166"/>
      <c r="R179" s="169"/>
    </row>
    <row r="180" customFormat="false" ht="15" hidden="false" customHeight="false" outlineLevel="0" collapsed="false">
      <c r="A180" s="23" t="n">
        <v>179</v>
      </c>
      <c r="B180" s="23" t="s">
        <v>31</v>
      </c>
      <c r="C180" s="34" t="s">
        <v>30</v>
      </c>
      <c r="D180" s="89" t="s">
        <v>261</v>
      </c>
      <c r="E180" s="89" t="s">
        <v>272</v>
      </c>
      <c r="F180" s="23" t="n">
        <v>74</v>
      </c>
      <c r="G180" s="161" t="s">
        <v>1011</v>
      </c>
      <c r="H180" s="170" t="s">
        <v>9</v>
      </c>
      <c r="I180" s="173" t="s">
        <v>668</v>
      </c>
      <c r="J180" s="174" t="s">
        <v>669</v>
      </c>
      <c r="K180" s="23"/>
      <c r="L180" s="165" t="s">
        <v>1012</v>
      </c>
      <c r="M180" s="166" t="s">
        <v>656</v>
      </c>
      <c r="N180" s="167"/>
      <c r="O180" s="166" t="n">
        <v>0</v>
      </c>
      <c r="P180" s="168" t="str">
        <f aca="false">IF(N180="","",N180+CHOOSE(MIN(O180,3)+1,3,7,21,45))</f>
        <v/>
      </c>
      <c r="Q180" s="166"/>
      <c r="R180" s="169"/>
    </row>
    <row r="181" customFormat="false" ht="15" hidden="false" customHeight="false" outlineLevel="0" collapsed="false">
      <c r="A181" s="23" t="n">
        <v>180</v>
      </c>
      <c r="B181" s="23" t="s">
        <v>31</v>
      </c>
      <c r="C181" s="34" t="s">
        <v>30</v>
      </c>
      <c r="D181" s="89" t="s">
        <v>261</v>
      </c>
      <c r="E181" s="89" t="s">
        <v>272</v>
      </c>
      <c r="F181" s="23" t="n">
        <v>240</v>
      </c>
      <c r="G181" s="161" t="s">
        <v>1013</v>
      </c>
      <c r="H181" s="170" t="s">
        <v>9</v>
      </c>
      <c r="I181" s="176" t="s">
        <v>15</v>
      </c>
      <c r="J181" s="174" t="s">
        <v>669</v>
      </c>
      <c r="K181" s="23"/>
      <c r="L181" s="165" t="s">
        <v>1014</v>
      </c>
      <c r="M181" s="166" t="s">
        <v>656</v>
      </c>
      <c r="N181" s="167"/>
      <c r="O181" s="166" t="n">
        <v>0</v>
      </c>
      <c r="P181" s="168" t="str">
        <f aca="false">IF(N181="","",N181+CHOOSE(MIN(O181,3)+1,3,7,21,45))</f>
        <v/>
      </c>
      <c r="Q181" s="166"/>
      <c r="R181" s="169"/>
    </row>
    <row r="182" customFormat="false" ht="15" hidden="false" customHeight="false" outlineLevel="0" collapsed="false">
      <c r="A182" s="23" t="n">
        <v>181</v>
      </c>
      <c r="B182" s="23" t="s">
        <v>31</v>
      </c>
      <c r="C182" s="34" t="s">
        <v>30</v>
      </c>
      <c r="D182" s="89" t="s">
        <v>261</v>
      </c>
      <c r="E182" s="89" t="s">
        <v>272</v>
      </c>
      <c r="F182" s="23" t="n">
        <v>378</v>
      </c>
      <c r="G182" s="161" t="s">
        <v>1015</v>
      </c>
      <c r="H182" s="170" t="s">
        <v>9</v>
      </c>
      <c r="I182" s="171" t="s">
        <v>653</v>
      </c>
      <c r="J182" s="172" t="s">
        <v>654</v>
      </c>
      <c r="K182" s="23"/>
      <c r="L182" s="165" t="s">
        <v>1016</v>
      </c>
      <c r="M182" s="166" t="s">
        <v>656</v>
      </c>
      <c r="N182" s="167"/>
      <c r="O182" s="166" t="n">
        <v>0</v>
      </c>
      <c r="P182" s="168" t="str">
        <f aca="false">IF(N182="","",N182+CHOOSE(MIN(O182,3)+1,3,7,21,45))</f>
        <v/>
      </c>
      <c r="Q182" s="166"/>
      <c r="R182" s="169"/>
    </row>
    <row r="183" customFormat="false" ht="15" hidden="false" customHeight="false" outlineLevel="0" collapsed="false">
      <c r="A183" s="23" t="n">
        <v>182</v>
      </c>
      <c r="B183" s="23" t="s">
        <v>31</v>
      </c>
      <c r="C183" s="34" t="s">
        <v>30</v>
      </c>
      <c r="D183" s="89" t="s">
        <v>261</v>
      </c>
      <c r="E183" s="89" t="s">
        <v>276</v>
      </c>
      <c r="F183" s="23" t="n">
        <v>981</v>
      </c>
      <c r="G183" s="161" t="s">
        <v>1017</v>
      </c>
      <c r="H183" s="170" t="s">
        <v>9</v>
      </c>
      <c r="I183" s="173" t="s">
        <v>668</v>
      </c>
      <c r="J183" s="174" t="s">
        <v>669</v>
      </c>
      <c r="K183" s="23"/>
      <c r="L183" s="165" t="s">
        <v>1018</v>
      </c>
      <c r="M183" s="166" t="s">
        <v>656</v>
      </c>
      <c r="N183" s="167"/>
      <c r="O183" s="166" t="n">
        <v>0</v>
      </c>
      <c r="P183" s="168" t="str">
        <f aca="false">IF(N183="","",N183+CHOOSE(MIN(O183,3)+1,3,7,21,45))</f>
        <v/>
      </c>
      <c r="Q183" s="166"/>
      <c r="R183" s="169"/>
    </row>
    <row r="184" customFormat="false" ht="15" hidden="false" customHeight="false" outlineLevel="0" collapsed="false">
      <c r="A184" s="23" t="n">
        <v>183</v>
      </c>
      <c r="B184" s="23" t="s">
        <v>31</v>
      </c>
      <c r="C184" s="34" t="s">
        <v>30</v>
      </c>
      <c r="D184" s="89" t="s">
        <v>261</v>
      </c>
      <c r="E184" s="89" t="s">
        <v>276</v>
      </c>
      <c r="F184" s="23" t="n">
        <v>4</v>
      </c>
      <c r="G184" s="161" t="s">
        <v>1019</v>
      </c>
      <c r="H184" s="175" t="s">
        <v>11</v>
      </c>
      <c r="I184" s="173" t="s">
        <v>668</v>
      </c>
      <c r="J184" s="174" t="s">
        <v>669</v>
      </c>
      <c r="K184" s="23"/>
      <c r="L184" s="165" t="s">
        <v>1020</v>
      </c>
      <c r="M184" s="166" t="s">
        <v>656</v>
      </c>
      <c r="N184" s="167"/>
      <c r="O184" s="166" t="n">
        <v>0</v>
      </c>
      <c r="P184" s="168" t="str">
        <f aca="false">IF(N184="","",N184+CHOOSE(MIN(O184,3)+1,3,7,21,45))</f>
        <v/>
      </c>
      <c r="Q184" s="166"/>
      <c r="R184" s="169"/>
    </row>
    <row r="185" customFormat="false" ht="23.85" hidden="false" customHeight="false" outlineLevel="0" collapsed="false">
      <c r="A185" s="23" t="n">
        <v>184</v>
      </c>
      <c r="B185" s="23" t="s">
        <v>31</v>
      </c>
      <c r="C185" s="34" t="s">
        <v>30</v>
      </c>
      <c r="D185" s="89" t="s">
        <v>279</v>
      </c>
      <c r="E185" s="89" t="s">
        <v>280</v>
      </c>
      <c r="F185" s="23" t="n">
        <v>875</v>
      </c>
      <c r="G185" s="161" t="s">
        <v>1021</v>
      </c>
      <c r="H185" s="170" t="s">
        <v>9</v>
      </c>
      <c r="I185" s="173" t="s">
        <v>668</v>
      </c>
      <c r="J185" s="174" t="s">
        <v>669</v>
      </c>
      <c r="K185" s="23"/>
      <c r="L185" s="165" t="s">
        <v>1022</v>
      </c>
      <c r="M185" s="166" t="s">
        <v>656</v>
      </c>
      <c r="N185" s="167"/>
      <c r="O185" s="166" t="n">
        <v>0</v>
      </c>
      <c r="P185" s="168" t="str">
        <f aca="false">IF(N185="","",N185+CHOOSE(MIN(O185,3)+1,3,7,21,45))</f>
        <v/>
      </c>
      <c r="Q185" s="166"/>
      <c r="R185" s="169"/>
    </row>
    <row r="186" customFormat="false" ht="23.85" hidden="false" customHeight="false" outlineLevel="0" collapsed="false">
      <c r="A186" s="23" t="n">
        <v>185</v>
      </c>
      <c r="B186" s="23" t="s">
        <v>31</v>
      </c>
      <c r="C186" s="34" t="s">
        <v>30</v>
      </c>
      <c r="D186" s="89" t="s">
        <v>279</v>
      </c>
      <c r="E186" s="89" t="s">
        <v>280</v>
      </c>
      <c r="F186" s="23" t="n">
        <v>1011</v>
      </c>
      <c r="G186" s="161" t="s">
        <v>1023</v>
      </c>
      <c r="H186" s="170" t="s">
        <v>9</v>
      </c>
      <c r="I186" s="176" t="s">
        <v>15</v>
      </c>
      <c r="J186" s="174" t="s">
        <v>669</v>
      </c>
      <c r="K186" s="23"/>
      <c r="L186" s="165" t="s">
        <v>1024</v>
      </c>
      <c r="M186" s="166" t="s">
        <v>656</v>
      </c>
      <c r="N186" s="167"/>
      <c r="O186" s="166" t="n">
        <v>0</v>
      </c>
      <c r="P186" s="168" t="str">
        <f aca="false">IF(N186="","",N186+CHOOSE(MIN(O186,3)+1,3,7,21,45))</f>
        <v/>
      </c>
      <c r="Q186" s="166"/>
      <c r="R186" s="169"/>
    </row>
    <row r="187" customFormat="false" ht="23.85" hidden="false" customHeight="false" outlineLevel="0" collapsed="false">
      <c r="A187" s="23" t="n">
        <v>186</v>
      </c>
      <c r="B187" s="23" t="s">
        <v>31</v>
      </c>
      <c r="C187" s="34" t="s">
        <v>30</v>
      </c>
      <c r="D187" s="89" t="s">
        <v>279</v>
      </c>
      <c r="E187" s="89" t="s">
        <v>280</v>
      </c>
      <c r="F187" s="23" t="n">
        <v>1283</v>
      </c>
      <c r="G187" s="161" t="s">
        <v>1025</v>
      </c>
      <c r="H187" s="170" t="s">
        <v>9</v>
      </c>
      <c r="I187" s="171" t="s">
        <v>653</v>
      </c>
      <c r="J187" s="172" t="s">
        <v>654</v>
      </c>
      <c r="K187" s="23"/>
      <c r="L187" s="165" t="s">
        <v>1026</v>
      </c>
      <c r="M187" s="166" t="s">
        <v>656</v>
      </c>
      <c r="N187" s="167"/>
      <c r="O187" s="166" t="n">
        <v>0</v>
      </c>
      <c r="P187" s="168" t="str">
        <f aca="false">IF(N187="","",N187+CHOOSE(MIN(O187,3)+1,3,7,21,45))</f>
        <v/>
      </c>
      <c r="Q187" s="166"/>
      <c r="R187" s="169"/>
    </row>
    <row r="188" customFormat="false" ht="23.85" hidden="false" customHeight="false" outlineLevel="0" collapsed="false">
      <c r="A188" s="23" t="n">
        <v>187</v>
      </c>
      <c r="B188" s="23" t="s">
        <v>31</v>
      </c>
      <c r="C188" s="34" t="s">
        <v>30</v>
      </c>
      <c r="D188" s="89" t="s">
        <v>279</v>
      </c>
      <c r="E188" s="89" t="s">
        <v>280</v>
      </c>
      <c r="F188" s="23" t="n">
        <v>1482</v>
      </c>
      <c r="G188" s="161" t="s">
        <v>1027</v>
      </c>
      <c r="H188" s="170" t="s">
        <v>9</v>
      </c>
      <c r="I188" s="171" t="s">
        <v>653</v>
      </c>
      <c r="J188" s="172" t="s">
        <v>654</v>
      </c>
      <c r="K188" s="23"/>
      <c r="L188" s="165" t="s">
        <v>1028</v>
      </c>
      <c r="M188" s="166" t="s">
        <v>656</v>
      </c>
      <c r="N188" s="167"/>
      <c r="O188" s="166" t="n">
        <v>0</v>
      </c>
      <c r="P188" s="168" t="str">
        <f aca="false">IF(N188="","",N188+CHOOSE(MIN(O188,3)+1,3,7,21,45))</f>
        <v/>
      </c>
      <c r="Q188" s="166"/>
      <c r="R188" s="169"/>
    </row>
    <row r="189" customFormat="false" ht="23.85" hidden="false" customHeight="false" outlineLevel="0" collapsed="false">
      <c r="A189" s="23" t="n">
        <v>188</v>
      </c>
      <c r="B189" s="23" t="s">
        <v>31</v>
      </c>
      <c r="C189" s="34" t="s">
        <v>30</v>
      </c>
      <c r="D189" s="89" t="s">
        <v>279</v>
      </c>
      <c r="E189" s="89" t="s">
        <v>280</v>
      </c>
      <c r="F189" s="23" t="n">
        <v>1552</v>
      </c>
      <c r="G189" s="161" t="s">
        <v>1029</v>
      </c>
      <c r="H189" s="170" t="s">
        <v>9</v>
      </c>
      <c r="I189" s="171" t="s">
        <v>653</v>
      </c>
      <c r="J189" s="172" t="s">
        <v>654</v>
      </c>
      <c r="K189" s="23"/>
      <c r="L189" s="165" t="s">
        <v>1030</v>
      </c>
      <c r="M189" s="166" t="s">
        <v>656</v>
      </c>
      <c r="N189" s="167"/>
      <c r="O189" s="166" t="n">
        <v>0</v>
      </c>
      <c r="P189" s="168" t="str">
        <f aca="false">IF(N189="","",N189+CHOOSE(MIN(O189,3)+1,3,7,21,45))</f>
        <v/>
      </c>
      <c r="Q189" s="166"/>
      <c r="R189" s="169"/>
    </row>
    <row r="190" customFormat="false" ht="23.85" hidden="false" customHeight="false" outlineLevel="0" collapsed="false">
      <c r="A190" s="23" t="n">
        <v>189</v>
      </c>
      <c r="B190" s="23" t="s">
        <v>31</v>
      </c>
      <c r="C190" s="34" t="s">
        <v>30</v>
      </c>
      <c r="D190" s="89" t="s">
        <v>279</v>
      </c>
      <c r="E190" s="89" t="s">
        <v>280</v>
      </c>
      <c r="F190" s="23" t="n">
        <v>2064</v>
      </c>
      <c r="G190" s="161" t="s">
        <v>1031</v>
      </c>
      <c r="H190" s="170" t="s">
        <v>9</v>
      </c>
      <c r="I190" s="171" t="s">
        <v>653</v>
      </c>
      <c r="J190" s="172" t="s">
        <v>654</v>
      </c>
      <c r="K190" s="23"/>
      <c r="L190" s="165" t="s">
        <v>1032</v>
      </c>
      <c r="M190" s="166" t="s">
        <v>656</v>
      </c>
      <c r="N190" s="167"/>
      <c r="O190" s="166" t="n">
        <v>0</v>
      </c>
      <c r="P190" s="168" t="str">
        <f aca="false">IF(N190="","",N190+CHOOSE(MIN(O190,3)+1,3,7,21,45))</f>
        <v/>
      </c>
      <c r="Q190" s="166"/>
      <c r="R190" s="169"/>
    </row>
    <row r="191" customFormat="false" ht="23.85" hidden="false" customHeight="false" outlineLevel="0" collapsed="false">
      <c r="A191" s="23" t="n">
        <v>190</v>
      </c>
      <c r="B191" s="23" t="s">
        <v>31</v>
      </c>
      <c r="C191" s="34" t="s">
        <v>30</v>
      </c>
      <c r="D191" s="89" t="s">
        <v>279</v>
      </c>
      <c r="E191" s="89" t="s">
        <v>280</v>
      </c>
      <c r="F191" s="23" t="n">
        <v>410</v>
      </c>
      <c r="G191" s="161" t="s">
        <v>1033</v>
      </c>
      <c r="H191" s="175" t="s">
        <v>11</v>
      </c>
      <c r="I191" s="176" t="s">
        <v>15</v>
      </c>
      <c r="J191" s="174" t="s">
        <v>669</v>
      </c>
      <c r="K191" s="23"/>
      <c r="L191" s="165" t="s">
        <v>1034</v>
      </c>
      <c r="M191" s="166" t="s">
        <v>656</v>
      </c>
      <c r="N191" s="167"/>
      <c r="O191" s="166" t="n">
        <v>0</v>
      </c>
      <c r="P191" s="168" t="str">
        <f aca="false">IF(N191="","",N191+CHOOSE(MIN(O191,3)+1,3,7,21,45))</f>
        <v/>
      </c>
      <c r="Q191" s="166"/>
      <c r="R191" s="169"/>
    </row>
    <row r="192" customFormat="false" ht="23.85" hidden="false" customHeight="false" outlineLevel="0" collapsed="false">
      <c r="A192" s="23" t="n">
        <v>191</v>
      </c>
      <c r="B192" s="23" t="s">
        <v>31</v>
      </c>
      <c r="C192" s="34" t="s">
        <v>30</v>
      </c>
      <c r="D192" s="89" t="s">
        <v>279</v>
      </c>
      <c r="E192" s="89" t="s">
        <v>280</v>
      </c>
      <c r="F192" s="23" t="n">
        <v>719</v>
      </c>
      <c r="G192" s="161" t="s">
        <v>1035</v>
      </c>
      <c r="H192" s="175" t="s">
        <v>11</v>
      </c>
      <c r="I192" s="171" t="s">
        <v>653</v>
      </c>
      <c r="J192" s="172" t="s">
        <v>654</v>
      </c>
      <c r="K192" s="23"/>
      <c r="L192" s="165" t="s">
        <v>1036</v>
      </c>
      <c r="M192" s="166" t="s">
        <v>656</v>
      </c>
      <c r="N192" s="167"/>
      <c r="O192" s="166" t="n">
        <v>0</v>
      </c>
      <c r="P192" s="168" t="str">
        <f aca="false">IF(N192="","",N192+CHOOSE(MIN(O192,3)+1,3,7,21,45))</f>
        <v/>
      </c>
      <c r="Q192" s="166"/>
      <c r="R192" s="169"/>
    </row>
    <row r="193" customFormat="false" ht="15" hidden="false" customHeight="false" outlineLevel="0" collapsed="false">
      <c r="A193" s="23" t="n">
        <v>192</v>
      </c>
      <c r="B193" s="23" t="s">
        <v>33</v>
      </c>
      <c r="C193" s="35" t="s">
        <v>32</v>
      </c>
      <c r="D193" s="94" t="s">
        <v>285</v>
      </c>
      <c r="E193" s="94" t="s">
        <v>286</v>
      </c>
      <c r="F193" s="23" t="n">
        <v>141</v>
      </c>
      <c r="G193" s="161" t="s">
        <v>1037</v>
      </c>
      <c r="H193" s="162" t="s">
        <v>7</v>
      </c>
      <c r="I193" s="163" t="s">
        <v>13</v>
      </c>
      <c r="J193" s="164" t="s">
        <v>649</v>
      </c>
      <c r="K193" s="23"/>
      <c r="L193" s="165" t="s">
        <v>1038</v>
      </c>
      <c r="M193" s="166" t="s">
        <v>656</v>
      </c>
      <c r="N193" s="167"/>
      <c r="O193" s="166" t="n">
        <v>0</v>
      </c>
      <c r="P193" s="168" t="str">
        <f aca="false">IF(N193="","",N193+CHOOSE(MIN(O193,3)+1,3,7,21,45))</f>
        <v/>
      </c>
      <c r="Q193" s="166"/>
      <c r="R193" s="169"/>
    </row>
    <row r="194" customFormat="false" ht="15" hidden="false" customHeight="false" outlineLevel="0" collapsed="false">
      <c r="A194" s="23" t="n">
        <v>193</v>
      </c>
      <c r="B194" s="23" t="s">
        <v>33</v>
      </c>
      <c r="C194" s="35" t="s">
        <v>32</v>
      </c>
      <c r="D194" s="94" t="s">
        <v>285</v>
      </c>
      <c r="E194" s="94" t="s">
        <v>286</v>
      </c>
      <c r="F194" s="23" t="n">
        <v>142</v>
      </c>
      <c r="G194" s="161" t="s">
        <v>1039</v>
      </c>
      <c r="H194" s="170" t="s">
        <v>9</v>
      </c>
      <c r="I194" s="176" t="s">
        <v>15</v>
      </c>
      <c r="J194" s="174" t="s">
        <v>669</v>
      </c>
      <c r="K194" s="23"/>
      <c r="L194" s="165" t="s">
        <v>1040</v>
      </c>
      <c r="M194" s="166" t="s">
        <v>656</v>
      </c>
      <c r="N194" s="167"/>
      <c r="O194" s="166" t="n">
        <v>0</v>
      </c>
      <c r="P194" s="168" t="str">
        <f aca="false">IF(N194="","",N194+CHOOSE(MIN(O194,3)+1,3,7,21,45))</f>
        <v/>
      </c>
      <c r="Q194" s="166"/>
      <c r="R194" s="169"/>
    </row>
    <row r="195" customFormat="false" ht="15" hidden="false" customHeight="false" outlineLevel="0" collapsed="false">
      <c r="A195" s="23" t="n">
        <v>194</v>
      </c>
      <c r="B195" s="23" t="s">
        <v>33</v>
      </c>
      <c r="C195" s="35" t="s">
        <v>32</v>
      </c>
      <c r="D195" s="94" t="s">
        <v>285</v>
      </c>
      <c r="E195" s="94" t="s">
        <v>289</v>
      </c>
      <c r="F195" s="23" t="n">
        <v>876</v>
      </c>
      <c r="G195" s="161" t="s">
        <v>1041</v>
      </c>
      <c r="H195" s="162" t="s">
        <v>7</v>
      </c>
      <c r="I195" s="176" t="s">
        <v>15</v>
      </c>
      <c r="J195" s="174" t="s">
        <v>669</v>
      </c>
      <c r="K195" s="23"/>
      <c r="L195" s="165" t="s">
        <v>1042</v>
      </c>
      <c r="M195" s="166" t="s">
        <v>656</v>
      </c>
      <c r="N195" s="167"/>
      <c r="O195" s="166" t="n">
        <v>0</v>
      </c>
      <c r="P195" s="168" t="str">
        <f aca="false">IF(N195="","",N195+CHOOSE(MIN(O195,3)+1,3,7,21,45))</f>
        <v/>
      </c>
      <c r="Q195" s="166"/>
      <c r="R195" s="169"/>
    </row>
    <row r="196" customFormat="false" ht="15" hidden="false" customHeight="false" outlineLevel="0" collapsed="false">
      <c r="A196" s="23" t="n">
        <v>195</v>
      </c>
      <c r="B196" s="23" t="s">
        <v>33</v>
      </c>
      <c r="C196" s="35" t="s">
        <v>32</v>
      </c>
      <c r="D196" s="94" t="s">
        <v>285</v>
      </c>
      <c r="E196" s="94" t="s">
        <v>289</v>
      </c>
      <c r="F196" s="23" t="n">
        <v>234</v>
      </c>
      <c r="G196" s="161" t="s">
        <v>1043</v>
      </c>
      <c r="H196" s="162" t="s">
        <v>7</v>
      </c>
      <c r="I196" s="176" t="s">
        <v>15</v>
      </c>
      <c r="J196" s="174" t="s">
        <v>669</v>
      </c>
      <c r="K196" s="23"/>
      <c r="L196" s="165" t="s">
        <v>1044</v>
      </c>
      <c r="M196" s="166" t="s">
        <v>656</v>
      </c>
      <c r="N196" s="167"/>
      <c r="O196" s="166" t="n">
        <v>0</v>
      </c>
      <c r="P196" s="168" t="str">
        <f aca="false">IF(N196="","",N196+CHOOSE(MIN(O196,3)+1,3,7,21,45))</f>
        <v/>
      </c>
      <c r="Q196" s="166"/>
      <c r="R196" s="169"/>
    </row>
    <row r="197" customFormat="false" ht="15" hidden="false" customHeight="false" outlineLevel="0" collapsed="false">
      <c r="A197" s="23" t="n">
        <v>196</v>
      </c>
      <c r="B197" s="23" t="s">
        <v>33</v>
      </c>
      <c r="C197" s="35" t="s">
        <v>32</v>
      </c>
      <c r="D197" s="94" t="s">
        <v>285</v>
      </c>
      <c r="E197" s="94" t="s">
        <v>289</v>
      </c>
      <c r="F197" s="23" t="n">
        <v>2095</v>
      </c>
      <c r="G197" s="161" t="s">
        <v>1045</v>
      </c>
      <c r="H197" s="170" t="s">
        <v>9</v>
      </c>
      <c r="I197" s="171" t="s">
        <v>653</v>
      </c>
      <c r="J197" s="172" t="s">
        <v>654</v>
      </c>
      <c r="K197" s="23"/>
      <c r="L197" s="165" t="s">
        <v>1046</v>
      </c>
      <c r="M197" s="166" t="s">
        <v>656</v>
      </c>
      <c r="N197" s="167"/>
      <c r="O197" s="166" t="n">
        <v>0</v>
      </c>
      <c r="P197" s="168" t="str">
        <f aca="false">IF(N197="","",N197+CHOOSE(MIN(O197,3)+1,3,7,21,45))</f>
        <v/>
      </c>
      <c r="Q197" s="166"/>
      <c r="R197" s="169"/>
    </row>
    <row r="198" customFormat="false" ht="15" hidden="false" customHeight="false" outlineLevel="0" collapsed="false">
      <c r="A198" s="23" t="n">
        <v>197</v>
      </c>
      <c r="B198" s="23" t="s">
        <v>33</v>
      </c>
      <c r="C198" s="35" t="s">
        <v>32</v>
      </c>
      <c r="D198" s="94" t="s">
        <v>292</v>
      </c>
      <c r="E198" s="94" t="s">
        <v>293</v>
      </c>
      <c r="F198" s="23" t="n">
        <v>206</v>
      </c>
      <c r="G198" s="161" t="s">
        <v>1047</v>
      </c>
      <c r="H198" s="162" t="s">
        <v>7</v>
      </c>
      <c r="I198" s="163" t="s">
        <v>13</v>
      </c>
      <c r="J198" s="164" t="s">
        <v>649</v>
      </c>
      <c r="K198" s="23"/>
      <c r="L198" s="165" t="s">
        <v>1048</v>
      </c>
      <c r="M198" s="166" t="s">
        <v>656</v>
      </c>
      <c r="N198" s="167"/>
      <c r="O198" s="166" t="n">
        <v>0</v>
      </c>
      <c r="P198" s="168" t="str">
        <f aca="false">IF(N198="","",N198+CHOOSE(MIN(O198,3)+1,3,7,21,45))</f>
        <v/>
      </c>
      <c r="Q198" s="166"/>
      <c r="R198" s="169"/>
    </row>
    <row r="199" customFormat="false" ht="15" hidden="false" customHeight="false" outlineLevel="0" collapsed="false">
      <c r="A199" s="23" t="n">
        <v>198</v>
      </c>
      <c r="B199" s="23" t="s">
        <v>33</v>
      </c>
      <c r="C199" s="35" t="s">
        <v>32</v>
      </c>
      <c r="D199" s="94" t="s">
        <v>292</v>
      </c>
      <c r="E199" s="94" t="s">
        <v>293</v>
      </c>
      <c r="F199" s="23" t="n">
        <v>92</v>
      </c>
      <c r="G199" s="161" t="s">
        <v>1049</v>
      </c>
      <c r="H199" s="170" t="s">
        <v>9</v>
      </c>
      <c r="I199" s="176" t="s">
        <v>15</v>
      </c>
      <c r="J199" s="174" t="s">
        <v>669</v>
      </c>
      <c r="K199" s="23"/>
      <c r="L199" s="165" t="s">
        <v>1050</v>
      </c>
      <c r="M199" s="166" t="s">
        <v>656</v>
      </c>
      <c r="N199" s="167"/>
      <c r="O199" s="166" t="n">
        <v>0</v>
      </c>
      <c r="P199" s="168" t="str">
        <f aca="false">IF(N199="","",N199+CHOOSE(MIN(O199,3)+1,3,7,21,45))</f>
        <v/>
      </c>
      <c r="Q199" s="166"/>
      <c r="R199" s="169"/>
    </row>
    <row r="200" customFormat="false" ht="15" hidden="false" customHeight="false" outlineLevel="0" collapsed="false">
      <c r="A200" s="23" t="n">
        <v>199</v>
      </c>
      <c r="B200" s="23" t="s">
        <v>33</v>
      </c>
      <c r="C200" s="35" t="s">
        <v>32</v>
      </c>
      <c r="D200" s="94" t="s">
        <v>292</v>
      </c>
      <c r="E200" s="94" t="s">
        <v>293</v>
      </c>
      <c r="F200" s="23" t="n">
        <v>24</v>
      </c>
      <c r="G200" s="161" t="s">
        <v>1051</v>
      </c>
      <c r="H200" s="170" t="s">
        <v>9</v>
      </c>
      <c r="I200" s="171" t="s">
        <v>653</v>
      </c>
      <c r="J200" s="172" t="s">
        <v>654</v>
      </c>
      <c r="K200" s="23"/>
      <c r="L200" s="165" t="s">
        <v>1052</v>
      </c>
      <c r="M200" s="166" t="s">
        <v>656</v>
      </c>
      <c r="N200" s="167"/>
      <c r="O200" s="166" t="n">
        <v>0</v>
      </c>
      <c r="P200" s="168" t="str">
        <f aca="false">IF(N200="","",N200+CHOOSE(MIN(O200,3)+1,3,7,21,45))</f>
        <v/>
      </c>
      <c r="Q200" s="166"/>
      <c r="R200" s="169"/>
    </row>
    <row r="201" customFormat="false" ht="15" hidden="false" customHeight="false" outlineLevel="0" collapsed="false">
      <c r="A201" s="23" t="n">
        <v>200</v>
      </c>
      <c r="B201" s="23" t="s">
        <v>33</v>
      </c>
      <c r="C201" s="35" t="s">
        <v>32</v>
      </c>
      <c r="D201" s="94" t="s">
        <v>292</v>
      </c>
      <c r="E201" s="94" t="s">
        <v>293</v>
      </c>
      <c r="F201" s="23" t="n">
        <v>2130</v>
      </c>
      <c r="G201" s="161" t="s">
        <v>1053</v>
      </c>
      <c r="H201" s="170" t="s">
        <v>9</v>
      </c>
      <c r="I201" s="171" t="s">
        <v>653</v>
      </c>
      <c r="J201" s="172" t="s">
        <v>654</v>
      </c>
      <c r="K201" s="23"/>
      <c r="L201" s="165" t="s">
        <v>1054</v>
      </c>
      <c r="M201" s="166" t="s">
        <v>656</v>
      </c>
      <c r="N201" s="167"/>
      <c r="O201" s="166" t="n">
        <v>0</v>
      </c>
      <c r="P201" s="168" t="str">
        <f aca="false">IF(N201="","",N201+CHOOSE(MIN(O201,3)+1,3,7,21,45))</f>
        <v/>
      </c>
      <c r="Q201" s="166"/>
      <c r="R201" s="169"/>
    </row>
    <row r="202" customFormat="false" ht="15" hidden="false" customHeight="false" outlineLevel="0" collapsed="false">
      <c r="A202" s="23" t="n">
        <v>201</v>
      </c>
      <c r="B202" s="23" t="s">
        <v>33</v>
      </c>
      <c r="C202" s="35" t="s">
        <v>32</v>
      </c>
      <c r="D202" s="94" t="s">
        <v>292</v>
      </c>
      <c r="E202" s="94" t="s">
        <v>293</v>
      </c>
      <c r="F202" s="23" t="n">
        <v>25</v>
      </c>
      <c r="G202" s="161" t="s">
        <v>1055</v>
      </c>
      <c r="H202" s="175" t="s">
        <v>11</v>
      </c>
      <c r="I202" s="173" t="s">
        <v>668</v>
      </c>
      <c r="J202" s="174" t="s">
        <v>669</v>
      </c>
      <c r="K202" s="23"/>
      <c r="L202" s="165" t="s">
        <v>1056</v>
      </c>
      <c r="M202" s="166" t="s">
        <v>656</v>
      </c>
      <c r="N202" s="167"/>
      <c r="O202" s="166" t="n">
        <v>0</v>
      </c>
      <c r="P202" s="168" t="str">
        <f aca="false">IF(N202="","",N202+CHOOSE(MIN(O202,3)+1,3,7,21,45))</f>
        <v/>
      </c>
      <c r="Q202" s="166"/>
      <c r="R202" s="169"/>
    </row>
    <row r="203" customFormat="false" ht="15" hidden="false" customHeight="false" outlineLevel="0" collapsed="false">
      <c r="A203" s="23" t="n">
        <v>202</v>
      </c>
      <c r="B203" s="23" t="s">
        <v>33</v>
      </c>
      <c r="C203" s="35" t="s">
        <v>32</v>
      </c>
      <c r="D203" s="94" t="s">
        <v>296</v>
      </c>
      <c r="E203" s="94" t="s">
        <v>297</v>
      </c>
      <c r="F203" s="23" t="n">
        <v>203</v>
      </c>
      <c r="G203" s="161" t="s">
        <v>1057</v>
      </c>
      <c r="H203" s="162" t="s">
        <v>7</v>
      </c>
      <c r="I203" s="171" t="s">
        <v>653</v>
      </c>
      <c r="J203" s="172" t="s">
        <v>654</v>
      </c>
      <c r="K203" s="23"/>
      <c r="L203" s="165" t="s">
        <v>1058</v>
      </c>
      <c r="M203" s="166" t="s">
        <v>656</v>
      </c>
      <c r="N203" s="167"/>
      <c r="O203" s="166" t="n">
        <v>0</v>
      </c>
      <c r="P203" s="168" t="str">
        <f aca="false">IF(N203="","",N203+CHOOSE(MIN(O203,3)+1,3,7,21,45))</f>
        <v/>
      </c>
      <c r="Q203" s="166"/>
      <c r="R203" s="169"/>
    </row>
    <row r="204" customFormat="false" ht="15" hidden="false" customHeight="false" outlineLevel="0" collapsed="false">
      <c r="A204" s="23" t="n">
        <v>203</v>
      </c>
      <c r="B204" s="23" t="s">
        <v>33</v>
      </c>
      <c r="C204" s="35" t="s">
        <v>32</v>
      </c>
      <c r="D204" s="94" t="s">
        <v>296</v>
      </c>
      <c r="E204" s="94" t="s">
        <v>297</v>
      </c>
      <c r="F204" s="23" t="n">
        <v>83</v>
      </c>
      <c r="G204" s="161" t="s">
        <v>1059</v>
      </c>
      <c r="H204" s="162" t="s">
        <v>7</v>
      </c>
      <c r="I204" s="171" t="s">
        <v>653</v>
      </c>
      <c r="J204" s="172" t="s">
        <v>654</v>
      </c>
      <c r="K204" s="23"/>
      <c r="L204" s="165" t="s">
        <v>1060</v>
      </c>
      <c r="M204" s="166" t="s">
        <v>656</v>
      </c>
      <c r="N204" s="167"/>
      <c r="O204" s="166" t="n">
        <v>0</v>
      </c>
      <c r="P204" s="168" t="str">
        <f aca="false">IF(N204="","",N204+CHOOSE(MIN(O204,3)+1,3,7,21,45))</f>
        <v/>
      </c>
      <c r="Q204" s="166"/>
      <c r="R204" s="169"/>
    </row>
    <row r="205" customFormat="false" ht="15" hidden="false" customHeight="false" outlineLevel="0" collapsed="false">
      <c r="A205" s="23" t="n">
        <v>204</v>
      </c>
      <c r="B205" s="23" t="s">
        <v>33</v>
      </c>
      <c r="C205" s="35" t="s">
        <v>32</v>
      </c>
      <c r="D205" s="94" t="s">
        <v>296</v>
      </c>
      <c r="E205" s="94" t="s">
        <v>297</v>
      </c>
      <c r="F205" s="23" t="n">
        <v>19</v>
      </c>
      <c r="G205" s="161" t="s">
        <v>1061</v>
      </c>
      <c r="H205" s="170" t="s">
        <v>9</v>
      </c>
      <c r="I205" s="163" t="s">
        <v>13</v>
      </c>
      <c r="J205" s="164" t="s">
        <v>649</v>
      </c>
      <c r="K205" s="23"/>
      <c r="L205" s="165" t="s">
        <v>1062</v>
      </c>
      <c r="M205" s="166" t="s">
        <v>656</v>
      </c>
      <c r="N205" s="167"/>
      <c r="O205" s="166" t="n">
        <v>0</v>
      </c>
      <c r="P205" s="168" t="str">
        <f aca="false">IF(N205="","",N205+CHOOSE(MIN(O205,3)+1,3,7,21,45))</f>
        <v/>
      </c>
      <c r="Q205" s="166"/>
      <c r="R205" s="169"/>
    </row>
    <row r="206" customFormat="false" ht="15" hidden="false" customHeight="false" outlineLevel="0" collapsed="false">
      <c r="A206" s="23" t="n">
        <v>205</v>
      </c>
      <c r="B206" s="23" t="s">
        <v>33</v>
      </c>
      <c r="C206" s="35" t="s">
        <v>32</v>
      </c>
      <c r="D206" s="94" t="s">
        <v>296</v>
      </c>
      <c r="E206" s="94" t="s">
        <v>297</v>
      </c>
      <c r="F206" s="23" t="n">
        <v>82</v>
      </c>
      <c r="G206" s="161" t="s">
        <v>1063</v>
      </c>
      <c r="H206" s="170" t="s">
        <v>9</v>
      </c>
      <c r="I206" s="171" t="s">
        <v>653</v>
      </c>
      <c r="J206" s="172" t="s">
        <v>654</v>
      </c>
      <c r="K206" s="23"/>
      <c r="L206" s="165" t="s">
        <v>1064</v>
      </c>
      <c r="M206" s="166" t="s">
        <v>656</v>
      </c>
      <c r="N206" s="167"/>
      <c r="O206" s="166" t="n">
        <v>0</v>
      </c>
      <c r="P206" s="168" t="str">
        <f aca="false">IF(N206="","",N206+CHOOSE(MIN(O206,3)+1,3,7,21,45))</f>
        <v/>
      </c>
      <c r="Q206" s="166"/>
      <c r="R206" s="169"/>
    </row>
    <row r="207" customFormat="false" ht="15" hidden="false" customHeight="false" outlineLevel="0" collapsed="false">
      <c r="A207" s="23" t="n">
        <v>206</v>
      </c>
      <c r="B207" s="23" t="s">
        <v>33</v>
      </c>
      <c r="C207" s="35" t="s">
        <v>32</v>
      </c>
      <c r="D207" s="94" t="s">
        <v>296</v>
      </c>
      <c r="E207" s="94" t="s">
        <v>300</v>
      </c>
      <c r="F207" s="23" t="n">
        <v>21</v>
      </c>
      <c r="G207" s="161" t="s">
        <v>1065</v>
      </c>
      <c r="H207" s="162" t="s">
        <v>7</v>
      </c>
      <c r="I207" s="163" t="s">
        <v>13</v>
      </c>
      <c r="J207" s="164" t="s">
        <v>649</v>
      </c>
      <c r="K207" s="23"/>
      <c r="L207" s="165" t="s">
        <v>1066</v>
      </c>
      <c r="M207" s="166" t="s">
        <v>656</v>
      </c>
      <c r="N207" s="167"/>
      <c r="O207" s="166" t="n">
        <v>0</v>
      </c>
      <c r="P207" s="168" t="str">
        <f aca="false">IF(N207="","",N207+CHOOSE(MIN(O207,3)+1,3,7,21,45))</f>
        <v/>
      </c>
      <c r="Q207" s="166"/>
      <c r="R207" s="169"/>
    </row>
    <row r="208" customFormat="false" ht="15" hidden="false" customHeight="false" outlineLevel="0" collapsed="false">
      <c r="A208" s="23" t="n">
        <v>207</v>
      </c>
      <c r="B208" s="23" t="s">
        <v>33</v>
      </c>
      <c r="C208" s="35" t="s">
        <v>32</v>
      </c>
      <c r="D208" s="94" t="s">
        <v>296</v>
      </c>
      <c r="E208" s="94" t="s">
        <v>300</v>
      </c>
      <c r="F208" s="23" t="n">
        <v>143</v>
      </c>
      <c r="G208" s="161" t="s">
        <v>1067</v>
      </c>
      <c r="H208" s="170" t="s">
        <v>9</v>
      </c>
      <c r="I208" s="163" t="s">
        <v>13</v>
      </c>
      <c r="J208" s="164" t="s">
        <v>649</v>
      </c>
      <c r="K208" s="23"/>
      <c r="L208" s="165" t="s">
        <v>1068</v>
      </c>
      <c r="M208" s="166" t="s">
        <v>656</v>
      </c>
      <c r="N208" s="167"/>
      <c r="O208" s="166" t="n">
        <v>0</v>
      </c>
      <c r="P208" s="168" t="str">
        <f aca="false">IF(N208="","",N208+CHOOSE(MIN(O208,3)+1,3,7,21,45))</f>
        <v/>
      </c>
      <c r="Q208" s="166"/>
      <c r="R208" s="169"/>
    </row>
    <row r="209" customFormat="false" ht="15" hidden="false" customHeight="false" outlineLevel="0" collapsed="false">
      <c r="A209" s="23" t="n">
        <v>208</v>
      </c>
      <c r="B209" s="23" t="s">
        <v>33</v>
      </c>
      <c r="C209" s="35" t="s">
        <v>32</v>
      </c>
      <c r="D209" s="94" t="s">
        <v>296</v>
      </c>
      <c r="E209" s="94" t="s">
        <v>300</v>
      </c>
      <c r="F209" s="23" t="n">
        <v>328</v>
      </c>
      <c r="G209" s="161" t="s">
        <v>1069</v>
      </c>
      <c r="H209" s="170" t="s">
        <v>9</v>
      </c>
      <c r="I209" s="171" t="s">
        <v>653</v>
      </c>
      <c r="J209" s="172" t="s">
        <v>654</v>
      </c>
      <c r="K209" s="23"/>
      <c r="L209" s="165" t="s">
        <v>1070</v>
      </c>
      <c r="M209" s="166" t="s">
        <v>656</v>
      </c>
      <c r="N209" s="167"/>
      <c r="O209" s="166" t="n">
        <v>0</v>
      </c>
      <c r="P209" s="168" t="str">
        <f aca="false">IF(N209="","",N209+CHOOSE(MIN(O209,3)+1,3,7,21,45))</f>
        <v/>
      </c>
      <c r="Q209" s="166"/>
      <c r="R209" s="169"/>
    </row>
    <row r="210" customFormat="false" ht="15" hidden="false" customHeight="false" outlineLevel="0" collapsed="false">
      <c r="A210" s="23" t="n">
        <v>209</v>
      </c>
      <c r="B210" s="23" t="s">
        <v>33</v>
      </c>
      <c r="C210" s="35" t="s">
        <v>32</v>
      </c>
      <c r="D210" s="94" t="s">
        <v>296</v>
      </c>
      <c r="E210" s="94" t="s">
        <v>300</v>
      </c>
      <c r="F210" s="23" t="n">
        <v>86</v>
      </c>
      <c r="G210" s="161" t="s">
        <v>1071</v>
      </c>
      <c r="H210" s="170" t="s">
        <v>9</v>
      </c>
      <c r="I210" s="171" t="s">
        <v>653</v>
      </c>
      <c r="J210" s="172" t="s">
        <v>654</v>
      </c>
      <c r="K210" s="23"/>
      <c r="L210" s="165" t="s">
        <v>1072</v>
      </c>
      <c r="M210" s="166" t="s">
        <v>656</v>
      </c>
      <c r="N210" s="167"/>
      <c r="O210" s="166" t="n">
        <v>0</v>
      </c>
      <c r="P210" s="168" t="str">
        <f aca="false">IF(N210="","",N210+CHOOSE(MIN(O210,3)+1,3,7,21,45))</f>
        <v/>
      </c>
      <c r="Q210" s="166"/>
      <c r="R210" s="169"/>
    </row>
    <row r="211" customFormat="false" ht="15" hidden="false" customHeight="false" outlineLevel="0" collapsed="false">
      <c r="A211" s="23" t="n">
        <v>210</v>
      </c>
      <c r="B211" s="23" t="s">
        <v>33</v>
      </c>
      <c r="C211" s="35" t="s">
        <v>32</v>
      </c>
      <c r="D211" s="94" t="s">
        <v>296</v>
      </c>
      <c r="E211" s="94" t="s">
        <v>300</v>
      </c>
      <c r="F211" s="23" t="n">
        <v>61</v>
      </c>
      <c r="G211" s="161" t="s">
        <v>1073</v>
      </c>
      <c r="H211" s="170" t="s">
        <v>9</v>
      </c>
      <c r="I211" s="171" t="s">
        <v>653</v>
      </c>
      <c r="J211" s="172" t="s">
        <v>654</v>
      </c>
      <c r="K211" s="23"/>
      <c r="L211" s="165" t="s">
        <v>1074</v>
      </c>
      <c r="M211" s="166" t="s">
        <v>656</v>
      </c>
      <c r="N211" s="167"/>
      <c r="O211" s="166" t="n">
        <v>0</v>
      </c>
      <c r="P211" s="168" t="str">
        <f aca="false">IF(N211="","",N211+CHOOSE(MIN(O211,3)+1,3,7,21,45))</f>
        <v/>
      </c>
      <c r="Q211" s="166"/>
      <c r="R211" s="169"/>
    </row>
    <row r="212" customFormat="false" ht="15" hidden="false" customHeight="false" outlineLevel="0" collapsed="false">
      <c r="A212" s="23" t="n">
        <v>211</v>
      </c>
      <c r="B212" s="23" t="s">
        <v>33</v>
      </c>
      <c r="C212" s="35" t="s">
        <v>32</v>
      </c>
      <c r="D212" s="94" t="s">
        <v>296</v>
      </c>
      <c r="E212" s="94" t="s">
        <v>303</v>
      </c>
      <c r="F212" s="23" t="n">
        <v>160</v>
      </c>
      <c r="G212" s="161" t="s">
        <v>1075</v>
      </c>
      <c r="H212" s="162" t="s">
        <v>7</v>
      </c>
      <c r="I212" s="176" t="s">
        <v>15</v>
      </c>
      <c r="J212" s="174" t="s">
        <v>669</v>
      </c>
      <c r="K212" s="23"/>
      <c r="L212" s="165" t="s">
        <v>1076</v>
      </c>
      <c r="M212" s="166" t="s">
        <v>656</v>
      </c>
      <c r="N212" s="167"/>
      <c r="O212" s="166" t="n">
        <v>0</v>
      </c>
      <c r="P212" s="168" t="str">
        <f aca="false">IF(N212="","",N212+CHOOSE(MIN(O212,3)+1,3,7,21,45))</f>
        <v/>
      </c>
      <c r="Q212" s="166"/>
      <c r="R212" s="169"/>
    </row>
    <row r="213" customFormat="false" ht="15" hidden="false" customHeight="false" outlineLevel="0" collapsed="false">
      <c r="A213" s="23" t="n">
        <v>212</v>
      </c>
      <c r="B213" s="23" t="s">
        <v>33</v>
      </c>
      <c r="C213" s="35" t="s">
        <v>32</v>
      </c>
      <c r="D213" s="94" t="s">
        <v>296</v>
      </c>
      <c r="E213" s="94" t="s">
        <v>303</v>
      </c>
      <c r="F213" s="23" t="n">
        <v>2</v>
      </c>
      <c r="G213" s="161" t="s">
        <v>1077</v>
      </c>
      <c r="H213" s="170" t="s">
        <v>9</v>
      </c>
      <c r="I213" s="173" t="s">
        <v>668</v>
      </c>
      <c r="J213" s="174" t="s">
        <v>669</v>
      </c>
      <c r="K213" s="23"/>
      <c r="L213" s="165" t="s">
        <v>1078</v>
      </c>
      <c r="M213" s="166" t="s">
        <v>656</v>
      </c>
      <c r="N213" s="167"/>
      <c r="O213" s="166" t="n">
        <v>0</v>
      </c>
      <c r="P213" s="168" t="str">
        <f aca="false">IF(N213="","",N213+CHOOSE(MIN(O213,3)+1,3,7,21,45))</f>
        <v/>
      </c>
      <c r="Q213" s="166"/>
      <c r="R213" s="169"/>
    </row>
    <row r="214" customFormat="false" ht="15" hidden="false" customHeight="false" outlineLevel="0" collapsed="false">
      <c r="A214" s="23" t="n">
        <v>213</v>
      </c>
      <c r="B214" s="23" t="s">
        <v>33</v>
      </c>
      <c r="C214" s="35" t="s">
        <v>32</v>
      </c>
      <c r="D214" s="94" t="s">
        <v>296</v>
      </c>
      <c r="E214" s="94" t="s">
        <v>303</v>
      </c>
      <c r="F214" s="23" t="n">
        <v>445</v>
      </c>
      <c r="G214" s="161" t="s">
        <v>1079</v>
      </c>
      <c r="H214" s="170" t="s">
        <v>9</v>
      </c>
      <c r="I214" s="171" t="s">
        <v>653</v>
      </c>
      <c r="J214" s="172" t="s">
        <v>654</v>
      </c>
      <c r="K214" s="23"/>
      <c r="L214" s="165" t="s">
        <v>1080</v>
      </c>
      <c r="M214" s="166" t="s">
        <v>656</v>
      </c>
      <c r="N214" s="167"/>
      <c r="O214" s="166" t="n">
        <v>0</v>
      </c>
      <c r="P214" s="168" t="str">
        <f aca="false">IF(N214="","",N214+CHOOSE(MIN(O214,3)+1,3,7,21,45))</f>
        <v/>
      </c>
      <c r="Q214" s="166"/>
      <c r="R214" s="169"/>
    </row>
    <row r="215" customFormat="false" ht="23.85" hidden="false" customHeight="false" outlineLevel="0" collapsed="false">
      <c r="A215" s="23" t="n">
        <v>214</v>
      </c>
      <c r="B215" s="23" t="s">
        <v>33</v>
      </c>
      <c r="C215" s="35" t="s">
        <v>32</v>
      </c>
      <c r="D215" s="94" t="s">
        <v>296</v>
      </c>
      <c r="E215" s="94" t="s">
        <v>306</v>
      </c>
      <c r="F215" s="23" t="n">
        <v>138</v>
      </c>
      <c r="G215" s="161" t="s">
        <v>1081</v>
      </c>
      <c r="H215" s="170" t="s">
        <v>9</v>
      </c>
      <c r="I215" s="173" t="s">
        <v>668</v>
      </c>
      <c r="J215" s="174" t="s">
        <v>669</v>
      </c>
      <c r="K215" s="23"/>
      <c r="L215" s="165" t="s">
        <v>1082</v>
      </c>
      <c r="M215" s="166" t="s">
        <v>656</v>
      </c>
      <c r="N215" s="167"/>
      <c r="O215" s="166" t="n">
        <v>0</v>
      </c>
      <c r="P215" s="168" t="str">
        <f aca="false">IF(N215="","",N215+CHOOSE(MIN(O215,3)+1,3,7,21,45))</f>
        <v/>
      </c>
      <c r="Q215" s="166"/>
      <c r="R215" s="169"/>
    </row>
    <row r="216" customFormat="false" ht="23.85" hidden="false" customHeight="false" outlineLevel="0" collapsed="false">
      <c r="A216" s="23" t="n">
        <v>215</v>
      </c>
      <c r="B216" s="23" t="s">
        <v>33</v>
      </c>
      <c r="C216" s="35" t="s">
        <v>32</v>
      </c>
      <c r="D216" s="94" t="s">
        <v>296</v>
      </c>
      <c r="E216" s="94" t="s">
        <v>306</v>
      </c>
      <c r="F216" s="23" t="n">
        <v>430</v>
      </c>
      <c r="G216" s="161" t="s">
        <v>1083</v>
      </c>
      <c r="H216" s="170" t="s">
        <v>9</v>
      </c>
      <c r="I216" s="171" t="s">
        <v>653</v>
      </c>
      <c r="J216" s="172" t="s">
        <v>654</v>
      </c>
      <c r="K216" s="23"/>
      <c r="L216" s="165" t="s">
        <v>1084</v>
      </c>
      <c r="M216" s="166" t="s">
        <v>656</v>
      </c>
      <c r="N216" s="167"/>
      <c r="O216" s="166" t="n">
        <v>0</v>
      </c>
      <c r="P216" s="168" t="str">
        <f aca="false">IF(N216="","",N216+CHOOSE(MIN(O216,3)+1,3,7,21,45))</f>
        <v/>
      </c>
      <c r="Q216" s="166"/>
      <c r="R216" s="169"/>
    </row>
    <row r="217" customFormat="false" ht="23.85" hidden="false" customHeight="false" outlineLevel="0" collapsed="false">
      <c r="A217" s="23" t="n">
        <v>216</v>
      </c>
      <c r="B217" s="23" t="s">
        <v>33</v>
      </c>
      <c r="C217" s="35" t="s">
        <v>32</v>
      </c>
      <c r="D217" s="94" t="s">
        <v>296</v>
      </c>
      <c r="E217" s="94" t="s">
        <v>306</v>
      </c>
      <c r="F217" s="23" t="n">
        <v>707</v>
      </c>
      <c r="G217" s="161" t="s">
        <v>1085</v>
      </c>
      <c r="H217" s="170" t="s">
        <v>9</v>
      </c>
      <c r="I217" s="171" t="s">
        <v>653</v>
      </c>
      <c r="J217" s="172" t="s">
        <v>654</v>
      </c>
      <c r="K217" s="23"/>
      <c r="L217" s="165" t="s">
        <v>1086</v>
      </c>
      <c r="M217" s="166" t="s">
        <v>656</v>
      </c>
      <c r="N217" s="167"/>
      <c r="O217" s="166" t="n">
        <v>0</v>
      </c>
      <c r="P217" s="168" t="str">
        <f aca="false">IF(N217="","",N217+CHOOSE(MIN(O217,3)+1,3,7,21,45))</f>
        <v/>
      </c>
      <c r="Q217" s="166"/>
      <c r="R217" s="169"/>
    </row>
    <row r="218" customFormat="false" ht="15" hidden="false" customHeight="false" outlineLevel="0" collapsed="false">
      <c r="A218" s="23" t="n">
        <v>217</v>
      </c>
      <c r="B218" s="23" t="s">
        <v>33</v>
      </c>
      <c r="C218" s="36" t="s">
        <v>34</v>
      </c>
      <c r="D218" s="99" t="s">
        <v>310</v>
      </c>
      <c r="E218" s="99" t="s">
        <v>311</v>
      </c>
      <c r="F218" s="23" t="n">
        <v>228</v>
      </c>
      <c r="G218" s="161" t="s">
        <v>1087</v>
      </c>
      <c r="H218" s="162" t="s">
        <v>7</v>
      </c>
      <c r="I218" s="171" t="s">
        <v>653</v>
      </c>
      <c r="J218" s="172" t="s">
        <v>654</v>
      </c>
      <c r="K218" s="23"/>
      <c r="L218" s="165" t="s">
        <v>1088</v>
      </c>
      <c r="M218" s="166" t="s">
        <v>656</v>
      </c>
      <c r="N218" s="167"/>
      <c r="O218" s="166" t="n">
        <v>0</v>
      </c>
      <c r="P218" s="168" t="str">
        <f aca="false">IF(N218="","",N218+CHOOSE(MIN(O218,3)+1,3,7,21,45))</f>
        <v/>
      </c>
      <c r="Q218" s="166"/>
      <c r="R218" s="169"/>
    </row>
    <row r="219" customFormat="false" ht="15" hidden="false" customHeight="false" outlineLevel="0" collapsed="false">
      <c r="A219" s="23" t="n">
        <v>218</v>
      </c>
      <c r="B219" s="23" t="s">
        <v>33</v>
      </c>
      <c r="C219" s="36" t="s">
        <v>34</v>
      </c>
      <c r="D219" s="99" t="s">
        <v>310</v>
      </c>
      <c r="E219" s="99" t="s">
        <v>311</v>
      </c>
      <c r="F219" s="23" t="n">
        <v>56</v>
      </c>
      <c r="G219" s="161" t="s">
        <v>1089</v>
      </c>
      <c r="H219" s="170" t="s">
        <v>9</v>
      </c>
      <c r="I219" s="163" t="s">
        <v>13</v>
      </c>
      <c r="J219" s="164" t="s">
        <v>649</v>
      </c>
      <c r="K219" s="23"/>
      <c r="L219" s="165" t="s">
        <v>1090</v>
      </c>
      <c r="M219" s="166" t="s">
        <v>656</v>
      </c>
      <c r="N219" s="167"/>
      <c r="O219" s="166" t="n">
        <v>0</v>
      </c>
      <c r="P219" s="168" t="str">
        <f aca="false">IF(N219="","",N219+CHOOSE(MIN(O219,3)+1,3,7,21,45))</f>
        <v/>
      </c>
      <c r="Q219" s="166"/>
      <c r="R219" s="169"/>
    </row>
    <row r="220" customFormat="false" ht="15" hidden="false" customHeight="false" outlineLevel="0" collapsed="false">
      <c r="A220" s="23" t="n">
        <v>219</v>
      </c>
      <c r="B220" s="23" t="s">
        <v>33</v>
      </c>
      <c r="C220" s="36" t="s">
        <v>34</v>
      </c>
      <c r="D220" s="99" t="s">
        <v>310</v>
      </c>
      <c r="E220" s="99" t="s">
        <v>311</v>
      </c>
      <c r="F220" s="23" t="n">
        <v>57</v>
      </c>
      <c r="G220" s="161" t="s">
        <v>1091</v>
      </c>
      <c r="H220" s="170" t="s">
        <v>9</v>
      </c>
      <c r="I220" s="163" t="s">
        <v>13</v>
      </c>
      <c r="J220" s="164" t="s">
        <v>649</v>
      </c>
      <c r="K220" s="23"/>
      <c r="L220" s="165" t="s">
        <v>1092</v>
      </c>
      <c r="M220" s="166" t="s">
        <v>656</v>
      </c>
      <c r="N220" s="167"/>
      <c r="O220" s="166" t="n">
        <v>0</v>
      </c>
      <c r="P220" s="168" t="str">
        <f aca="false">IF(N220="","",N220+CHOOSE(MIN(O220,3)+1,3,7,21,45))</f>
        <v/>
      </c>
      <c r="Q220" s="166"/>
      <c r="R220" s="169"/>
    </row>
    <row r="221" customFormat="false" ht="23.85" hidden="false" customHeight="false" outlineLevel="0" collapsed="false">
      <c r="A221" s="23" t="n">
        <v>220</v>
      </c>
      <c r="B221" s="23" t="s">
        <v>33</v>
      </c>
      <c r="C221" s="36" t="s">
        <v>34</v>
      </c>
      <c r="D221" s="99" t="s">
        <v>310</v>
      </c>
      <c r="E221" s="99" t="s">
        <v>315</v>
      </c>
      <c r="F221" s="23" t="n">
        <v>252</v>
      </c>
      <c r="G221" s="161" t="s">
        <v>1093</v>
      </c>
      <c r="H221" s="162" t="s">
        <v>7</v>
      </c>
      <c r="I221" s="163" t="s">
        <v>13</v>
      </c>
      <c r="J221" s="164" t="s">
        <v>649</v>
      </c>
      <c r="K221" s="23" t="s">
        <v>672</v>
      </c>
      <c r="L221" s="165" t="s">
        <v>1094</v>
      </c>
      <c r="M221" s="166" t="s">
        <v>656</v>
      </c>
      <c r="N221" s="167"/>
      <c r="O221" s="166" t="n">
        <v>0</v>
      </c>
      <c r="P221" s="168" t="str">
        <f aca="false">IF(N221="","",N221+CHOOSE(MIN(O221,3)+1,3,7,21,45))</f>
        <v/>
      </c>
      <c r="Q221" s="166"/>
      <c r="R221" s="169"/>
    </row>
    <row r="222" customFormat="false" ht="23.85" hidden="false" customHeight="false" outlineLevel="0" collapsed="false">
      <c r="A222" s="23" t="n">
        <v>221</v>
      </c>
      <c r="B222" s="23" t="s">
        <v>33</v>
      </c>
      <c r="C222" s="36" t="s">
        <v>34</v>
      </c>
      <c r="D222" s="99" t="s">
        <v>310</v>
      </c>
      <c r="E222" s="99" t="s">
        <v>315</v>
      </c>
      <c r="F222" s="23" t="n">
        <v>435</v>
      </c>
      <c r="G222" s="161" t="s">
        <v>1095</v>
      </c>
      <c r="H222" s="170" t="s">
        <v>9</v>
      </c>
      <c r="I222" s="163" t="s">
        <v>13</v>
      </c>
      <c r="J222" s="164" t="s">
        <v>649</v>
      </c>
      <c r="K222" s="23"/>
      <c r="L222" s="165" t="s">
        <v>1096</v>
      </c>
      <c r="M222" s="166" t="s">
        <v>656</v>
      </c>
      <c r="N222" s="167"/>
      <c r="O222" s="166" t="n">
        <v>0</v>
      </c>
      <c r="P222" s="168" t="str">
        <f aca="false">IF(N222="","",N222+CHOOSE(MIN(O222,3)+1,3,7,21,45))</f>
        <v/>
      </c>
      <c r="Q222" s="166"/>
      <c r="R222" s="169"/>
    </row>
    <row r="223" customFormat="false" ht="23.85" hidden="false" customHeight="false" outlineLevel="0" collapsed="false">
      <c r="A223" s="23" t="n">
        <v>222</v>
      </c>
      <c r="B223" s="23" t="s">
        <v>33</v>
      </c>
      <c r="C223" s="36" t="s">
        <v>34</v>
      </c>
      <c r="D223" s="99" t="s">
        <v>310</v>
      </c>
      <c r="E223" s="99" t="s">
        <v>315</v>
      </c>
      <c r="F223" s="23" t="n">
        <v>452</v>
      </c>
      <c r="G223" s="161" t="s">
        <v>1097</v>
      </c>
      <c r="H223" s="170" t="s">
        <v>9</v>
      </c>
      <c r="I223" s="176" t="s">
        <v>15</v>
      </c>
      <c r="J223" s="174" t="s">
        <v>669</v>
      </c>
      <c r="K223" s="23"/>
      <c r="L223" s="165" t="s">
        <v>1098</v>
      </c>
      <c r="M223" s="166" t="s">
        <v>656</v>
      </c>
      <c r="N223" s="167"/>
      <c r="O223" s="166" t="n">
        <v>0</v>
      </c>
      <c r="P223" s="168" t="str">
        <f aca="false">IF(N223="","",N223+CHOOSE(MIN(O223,3)+1,3,7,21,45))</f>
        <v/>
      </c>
      <c r="Q223" s="166"/>
      <c r="R223" s="169"/>
    </row>
    <row r="224" customFormat="false" ht="15" hidden="false" customHeight="false" outlineLevel="0" collapsed="false">
      <c r="A224" s="23" t="n">
        <v>223</v>
      </c>
      <c r="B224" s="23" t="s">
        <v>33</v>
      </c>
      <c r="C224" s="36" t="s">
        <v>34</v>
      </c>
      <c r="D224" s="99" t="s">
        <v>310</v>
      </c>
      <c r="E224" s="99" t="s">
        <v>318</v>
      </c>
      <c r="F224" s="23" t="n">
        <v>253</v>
      </c>
      <c r="G224" s="161" t="s">
        <v>1099</v>
      </c>
      <c r="H224" s="170" t="s">
        <v>9</v>
      </c>
      <c r="I224" s="163" t="s">
        <v>13</v>
      </c>
      <c r="J224" s="164" t="s">
        <v>649</v>
      </c>
      <c r="K224" s="23" t="s">
        <v>672</v>
      </c>
      <c r="L224" s="165" t="s">
        <v>1100</v>
      </c>
      <c r="M224" s="166" t="s">
        <v>656</v>
      </c>
      <c r="N224" s="167"/>
      <c r="O224" s="166" t="n">
        <v>0</v>
      </c>
      <c r="P224" s="168" t="str">
        <f aca="false">IF(N224="","",N224+CHOOSE(MIN(O224,3)+1,3,7,21,45))</f>
        <v/>
      </c>
      <c r="Q224" s="166"/>
      <c r="R224" s="169"/>
    </row>
    <row r="225" customFormat="false" ht="15" hidden="false" customHeight="false" outlineLevel="0" collapsed="false">
      <c r="A225" s="23" t="n">
        <v>224</v>
      </c>
      <c r="B225" s="23" t="s">
        <v>33</v>
      </c>
      <c r="C225" s="36" t="s">
        <v>34</v>
      </c>
      <c r="D225" s="99" t="s">
        <v>310</v>
      </c>
      <c r="E225" s="99" t="s">
        <v>318</v>
      </c>
      <c r="F225" s="23" t="n">
        <v>1851</v>
      </c>
      <c r="G225" s="161" t="s">
        <v>1101</v>
      </c>
      <c r="H225" s="175" t="s">
        <v>11</v>
      </c>
      <c r="I225" s="173" t="s">
        <v>668</v>
      </c>
      <c r="J225" s="174" t="s">
        <v>669</v>
      </c>
      <c r="K225" s="23"/>
      <c r="L225" s="165" t="s">
        <v>1102</v>
      </c>
      <c r="M225" s="166" t="s">
        <v>656</v>
      </c>
      <c r="N225" s="167"/>
      <c r="O225" s="166" t="n">
        <v>0</v>
      </c>
      <c r="P225" s="168" t="str">
        <f aca="false">IF(N225="","",N225+CHOOSE(MIN(O225,3)+1,3,7,21,45))</f>
        <v/>
      </c>
      <c r="Q225" s="166"/>
      <c r="R225" s="169"/>
    </row>
    <row r="226" customFormat="false" ht="15" hidden="false" customHeight="false" outlineLevel="0" collapsed="false">
      <c r="A226" s="23" t="n">
        <v>225</v>
      </c>
      <c r="B226" s="23" t="s">
        <v>33</v>
      </c>
      <c r="C226" s="36" t="s">
        <v>34</v>
      </c>
      <c r="D226" s="99" t="s">
        <v>310</v>
      </c>
      <c r="E226" s="99" t="s">
        <v>318</v>
      </c>
      <c r="F226" s="23" t="n">
        <v>2402</v>
      </c>
      <c r="G226" s="161" t="s">
        <v>1103</v>
      </c>
      <c r="H226" s="175" t="s">
        <v>11</v>
      </c>
      <c r="I226" s="171" t="s">
        <v>653</v>
      </c>
      <c r="J226" s="172" t="s">
        <v>654</v>
      </c>
      <c r="K226" s="23"/>
      <c r="L226" s="165" t="s">
        <v>1104</v>
      </c>
      <c r="M226" s="166" t="s">
        <v>656</v>
      </c>
      <c r="N226" s="167"/>
      <c r="O226" s="166" t="n">
        <v>0</v>
      </c>
      <c r="P226" s="168" t="str">
        <f aca="false">IF(N226="","",N226+CHOOSE(MIN(O226,3)+1,3,7,21,45))</f>
        <v/>
      </c>
      <c r="Q226" s="166"/>
      <c r="R226" s="169"/>
    </row>
    <row r="227" customFormat="false" ht="15" hidden="false" customHeight="false" outlineLevel="0" collapsed="false">
      <c r="A227" s="23" t="n">
        <v>226</v>
      </c>
      <c r="B227" s="23" t="s">
        <v>33</v>
      </c>
      <c r="C227" s="36" t="s">
        <v>34</v>
      </c>
      <c r="D227" s="99" t="s">
        <v>310</v>
      </c>
      <c r="E227" s="99" t="s">
        <v>318</v>
      </c>
      <c r="F227" s="23" t="n">
        <v>732</v>
      </c>
      <c r="G227" s="161" t="s">
        <v>1105</v>
      </c>
      <c r="H227" s="175" t="s">
        <v>11</v>
      </c>
      <c r="I227" s="171" t="s">
        <v>653</v>
      </c>
      <c r="J227" s="172" t="s">
        <v>654</v>
      </c>
      <c r="K227" s="23"/>
      <c r="L227" s="165" t="s">
        <v>1106</v>
      </c>
      <c r="M227" s="166" t="s">
        <v>656</v>
      </c>
      <c r="N227" s="167"/>
      <c r="O227" s="166" t="n">
        <v>0</v>
      </c>
      <c r="P227" s="168" t="str">
        <f aca="false">IF(N227="","",N227+CHOOSE(MIN(O227,3)+1,3,7,21,45))</f>
        <v/>
      </c>
      <c r="Q227" s="166"/>
      <c r="R227" s="169"/>
    </row>
    <row r="228" customFormat="false" ht="15" hidden="false" customHeight="false" outlineLevel="0" collapsed="false">
      <c r="A228" s="23" t="n">
        <v>227</v>
      </c>
      <c r="B228" s="23" t="s">
        <v>33</v>
      </c>
      <c r="C228" s="36" t="s">
        <v>34</v>
      </c>
      <c r="D228" s="99" t="s">
        <v>310</v>
      </c>
      <c r="E228" s="99" t="s">
        <v>318</v>
      </c>
      <c r="F228" s="23" t="n">
        <v>218</v>
      </c>
      <c r="G228" s="161" t="s">
        <v>1107</v>
      </c>
      <c r="H228" s="175" t="s">
        <v>11</v>
      </c>
      <c r="I228" s="176" t="s">
        <v>15</v>
      </c>
      <c r="J228" s="174" t="s">
        <v>669</v>
      </c>
      <c r="K228" s="23"/>
      <c r="L228" s="165" t="s">
        <v>1108</v>
      </c>
      <c r="M228" s="166" t="s">
        <v>656</v>
      </c>
      <c r="N228" s="167"/>
      <c r="O228" s="166" t="n">
        <v>0</v>
      </c>
      <c r="P228" s="168" t="str">
        <f aca="false">IF(N228="","",N228+CHOOSE(MIN(O228,3)+1,3,7,21,45))</f>
        <v/>
      </c>
      <c r="Q228" s="166"/>
      <c r="R228" s="169"/>
    </row>
    <row r="229" customFormat="false" ht="15" hidden="false" customHeight="false" outlineLevel="0" collapsed="false">
      <c r="A229" s="23" t="n">
        <v>228</v>
      </c>
      <c r="B229" s="23" t="s">
        <v>33</v>
      </c>
      <c r="C229" s="36" t="s">
        <v>34</v>
      </c>
      <c r="D229" s="99" t="s">
        <v>310</v>
      </c>
      <c r="E229" s="99" t="s">
        <v>321</v>
      </c>
      <c r="F229" s="23" t="n">
        <v>986</v>
      </c>
      <c r="G229" s="161" t="s">
        <v>1109</v>
      </c>
      <c r="H229" s="170" t="s">
        <v>9</v>
      </c>
      <c r="I229" s="171" t="s">
        <v>653</v>
      </c>
      <c r="J229" s="172" t="s">
        <v>654</v>
      </c>
      <c r="K229" s="23"/>
      <c r="L229" s="165" t="s">
        <v>1110</v>
      </c>
      <c r="M229" s="166" t="s">
        <v>656</v>
      </c>
      <c r="N229" s="167"/>
      <c r="O229" s="166" t="n">
        <v>0</v>
      </c>
      <c r="P229" s="168" t="str">
        <f aca="false">IF(N229="","",N229+CHOOSE(MIN(O229,3)+1,3,7,21,45))</f>
        <v/>
      </c>
      <c r="Q229" s="166"/>
      <c r="R229" s="169"/>
    </row>
    <row r="230" customFormat="false" ht="15" hidden="false" customHeight="false" outlineLevel="0" collapsed="false">
      <c r="A230" s="23" t="n">
        <v>229</v>
      </c>
      <c r="B230" s="23" t="s">
        <v>33</v>
      </c>
      <c r="C230" s="36" t="s">
        <v>34</v>
      </c>
      <c r="D230" s="99" t="s">
        <v>310</v>
      </c>
      <c r="E230" s="99" t="s">
        <v>321</v>
      </c>
      <c r="F230" s="23" t="n">
        <v>729</v>
      </c>
      <c r="G230" s="161" t="s">
        <v>1111</v>
      </c>
      <c r="H230" s="170" t="s">
        <v>9</v>
      </c>
      <c r="I230" s="171" t="s">
        <v>653</v>
      </c>
      <c r="J230" s="172" t="s">
        <v>654</v>
      </c>
      <c r="K230" s="23"/>
      <c r="L230" s="165" t="s">
        <v>1112</v>
      </c>
      <c r="M230" s="166" t="s">
        <v>656</v>
      </c>
      <c r="N230" s="167"/>
      <c r="O230" s="166" t="n">
        <v>0</v>
      </c>
      <c r="P230" s="168" t="str">
        <f aca="false">IF(N230="","",N230+CHOOSE(MIN(O230,3)+1,3,7,21,45))</f>
        <v/>
      </c>
      <c r="Q230" s="166"/>
      <c r="R230" s="169"/>
    </row>
    <row r="231" customFormat="false" ht="15" hidden="false" customHeight="false" outlineLevel="0" collapsed="false">
      <c r="A231" s="23" t="n">
        <v>230</v>
      </c>
      <c r="B231" s="23" t="s">
        <v>33</v>
      </c>
      <c r="C231" s="36" t="s">
        <v>34</v>
      </c>
      <c r="D231" s="99" t="s">
        <v>310</v>
      </c>
      <c r="E231" s="99" t="s">
        <v>321</v>
      </c>
      <c r="F231" s="23" t="n">
        <v>759</v>
      </c>
      <c r="G231" s="161" t="s">
        <v>1113</v>
      </c>
      <c r="H231" s="175" t="s">
        <v>11</v>
      </c>
      <c r="I231" s="171" t="s">
        <v>653</v>
      </c>
      <c r="J231" s="172" t="s">
        <v>654</v>
      </c>
      <c r="K231" s="23" t="s">
        <v>672</v>
      </c>
      <c r="L231" s="165" t="s">
        <v>1114</v>
      </c>
      <c r="M231" s="166" t="s">
        <v>656</v>
      </c>
      <c r="N231" s="167"/>
      <c r="O231" s="166" t="n">
        <v>0</v>
      </c>
      <c r="P231" s="168" t="str">
        <f aca="false">IF(N231="","",N231+CHOOSE(MIN(O231,3)+1,3,7,21,45))</f>
        <v/>
      </c>
      <c r="Q231" s="166"/>
      <c r="R231" s="169"/>
    </row>
    <row r="232" customFormat="false" ht="23.85" hidden="false" customHeight="false" outlineLevel="0" collapsed="false">
      <c r="A232" s="23" t="n">
        <v>231</v>
      </c>
      <c r="B232" s="23" t="s">
        <v>66</v>
      </c>
      <c r="C232" s="37" t="s">
        <v>35</v>
      </c>
      <c r="D232" s="104" t="s">
        <v>325</v>
      </c>
      <c r="E232" s="104" t="s">
        <v>326</v>
      </c>
      <c r="F232" s="23" t="n">
        <v>144</v>
      </c>
      <c r="G232" s="161" t="s">
        <v>1115</v>
      </c>
      <c r="H232" s="162" t="s">
        <v>7</v>
      </c>
      <c r="I232" s="171" t="s">
        <v>653</v>
      </c>
      <c r="J232" s="172" t="s">
        <v>654</v>
      </c>
      <c r="K232" s="23"/>
      <c r="L232" s="165" t="s">
        <v>1116</v>
      </c>
      <c r="M232" s="166" t="s">
        <v>656</v>
      </c>
      <c r="N232" s="167"/>
      <c r="O232" s="166" t="n">
        <v>0</v>
      </c>
      <c r="P232" s="168" t="str">
        <f aca="false">IF(N232="","",N232+CHOOSE(MIN(O232,3)+1,3,7,21,45))</f>
        <v/>
      </c>
      <c r="Q232" s="166"/>
      <c r="R232" s="169"/>
    </row>
    <row r="233" customFormat="false" ht="23.85" hidden="false" customHeight="false" outlineLevel="0" collapsed="false">
      <c r="A233" s="23" t="n">
        <v>232</v>
      </c>
      <c r="B233" s="23" t="s">
        <v>66</v>
      </c>
      <c r="C233" s="37" t="s">
        <v>35</v>
      </c>
      <c r="D233" s="104" t="s">
        <v>325</v>
      </c>
      <c r="E233" s="104" t="s">
        <v>326</v>
      </c>
      <c r="F233" s="23" t="n">
        <v>94</v>
      </c>
      <c r="G233" s="161" t="s">
        <v>1117</v>
      </c>
      <c r="H233" s="162" t="s">
        <v>7</v>
      </c>
      <c r="I233" s="176" t="s">
        <v>15</v>
      </c>
      <c r="J233" s="174" t="s">
        <v>669</v>
      </c>
      <c r="K233" s="23"/>
      <c r="L233" s="165" t="s">
        <v>1118</v>
      </c>
      <c r="M233" s="166" t="s">
        <v>656</v>
      </c>
      <c r="N233" s="167"/>
      <c r="O233" s="166" t="n">
        <v>0</v>
      </c>
      <c r="P233" s="168" t="str">
        <f aca="false">IF(N233="","",N233+CHOOSE(MIN(O233,3)+1,3,7,21,45))</f>
        <v/>
      </c>
      <c r="Q233" s="166"/>
      <c r="R233" s="169"/>
    </row>
    <row r="234" customFormat="false" ht="23.85" hidden="false" customHeight="false" outlineLevel="0" collapsed="false">
      <c r="A234" s="23" t="n">
        <v>233</v>
      </c>
      <c r="B234" s="23" t="s">
        <v>66</v>
      </c>
      <c r="C234" s="37" t="s">
        <v>35</v>
      </c>
      <c r="D234" s="104" t="s">
        <v>325</v>
      </c>
      <c r="E234" s="104" t="s">
        <v>326</v>
      </c>
      <c r="F234" s="23" t="n">
        <v>145</v>
      </c>
      <c r="G234" s="161" t="s">
        <v>1119</v>
      </c>
      <c r="H234" s="162" t="s">
        <v>7</v>
      </c>
      <c r="I234" s="171" t="s">
        <v>653</v>
      </c>
      <c r="J234" s="172" t="s">
        <v>654</v>
      </c>
      <c r="K234" s="23"/>
      <c r="L234" s="165" t="s">
        <v>1120</v>
      </c>
      <c r="M234" s="166" t="s">
        <v>656</v>
      </c>
      <c r="N234" s="167"/>
      <c r="O234" s="166" t="n">
        <v>0</v>
      </c>
      <c r="P234" s="168" t="str">
        <f aca="false">IF(N234="","",N234+CHOOSE(MIN(O234,3)+1,3,7,21,45))</f>
        <v/>
      </c>
      <c r="Q234" s="166"/>
      <c r="R234" s="169"/>
    </row>
    <row r="235" customFormat="false" ht="15" hidden="false" customHeight="false" outlineLevel="0" collapsed="false">
      <c r="A235" s="23" t="n">
        <v>234</v>
      </c>
      <c r="B235" s="23" t="s">
        <v>66</v>
      </c>
      <c r="C235" s="37" t="s">
        <v>35</v>
      </c>
      <c r="D235" s="104" t="s">
        <v>325</v>
      </c>
      <c r="E235" s="104" t="s">
        <v>329</v>
      </c>
      <c r="F235" s="23" t="n">
        <v>100</v>
      </c>
      <c r="G235" s="161" t="s">
        <v>1121</v>
      </c>
      <c r="H235" s="162" t="s">
        <v>7</v>
      </c>
      <c r="I235" s="163" t="s">
        <v>13</v>
      </c>
      <c r="J235" s="164" t="s">
        <v>649</v>
      </c>
      <c r="K235" s="23"/>
      <c r="L235" s="165" t="s">
        <v>1122</v>
      </c>
      <c r="M235" s="166" t="s">
        <v>656</v>
      </c>
      <c r="N235" s="167"/>
      <c r="O235" s="166" t="n">
        <v>0</v>
      </c>
      <c r="P235" s="168" t="str">
        <f aca="false">IF(N235="","",N235+CHOOSE(MIN(O235,3)+1,3,7,21,45))</f>
        <v/>
      </c>
      <c r="Q235" s="166"/>
      <c r="R235" s="169"/>
    </row>
    <row r="236" customFormat="false" ht="15" hidden="false" customHeight="false" outlineLevel="0" collapsed="false">
      <c r="A236" s="23" t="n">
        <v>235</v>
      </c>
      <c r="B236" s="23" t="s">
        <v>66</v>
      </c>
      <c r="C236" s="37" t="s">
        <v>35</v>
      </c>
      <c r="D236" s="104" t="s">
        <v>325</v>
      </c>
      <c r="E236" s="104" t="s">
        <v>329</v>
      </c>
      <c r="F236" s="23" t="n">
        <v>226</v>
      </c>
      <c r="G236" s="161" t="s">
        <v>1123</v>
      </c>
      <c r="H236" s="162" t="s">
        <v>7</v>
      </c>
      <c r="I236" s="163" t="s">
        <v>13</v>
      </c>
      <c r="J236" s="164" t="s">
        <v>649</v>
      </c>
      <c r="K236" s="23"/>
      <c r="L236" s="165" t="s">
        <v>1124</v>
      </c>
      <c r="M236" s="166" t="s">
        <v>656</v>
      </c>
      <c r="N236" s="167"/>
      <c r="O236" s="166" t="n">
        <v>0</v>
      </c>
      <c r="P236" s="168" t="str">
        <f aca="false">IF(N236="","",N236+CHOOSE(MIN(O236,3)+1,3,7,21,45))</f>
        <v/>
      </c>
      <c r="Q236" s="166"/>
      <c r="R236" s="169"/>
    </row>
    <row r="237" customFormat="false" ht="15" hidden="false" customHeight="false" outlineLevel="0" collapsed="false">
      <c r="A237" s="23" t="n">
        <v>236</v>
      </c>
      <c r="B237" s="23" t="s">
        <v>66</v>
      </c>
      <c r="C237" s="37" t="s">
        <v>35</v>
      </c>
      <c r="D237" s="104" t="s">
        <v>325</v>
      </c>
      <c r="E237" s="104" t="s">
        <v>329</v>
      </c>
      <c r="F237" s="23" t="n">
        <v>101</v>
      </c>
      <c r="G237" s="161" t="s">
        <v>1125</v>
      </c>
      <c r="H237" s="162" t="s">
        <v>7</v>
      </c>
      <c r="I237" s="176" t="s">
        <v>15</v>
      </c>
      <c r="J237" s="174" t="s">
        <v>669</v>
      </c>
      <c r="K237" s="23"/>
      <c r="L237" s="165" t="s">
        <v>1126</v>
      </c>
      <c r="M237" s="166" t="s">
        <v>656</v>
      </c>
      <c r="N237" s="167"/>
      <c r="O237" s="166" t="n">
        <v>0</v>
      </c>
      <c r="P237" s="168" t="str">
        <f aca="false">IF(N237="","",N237+CHOOSE(MIN(O237,3)+1,3,7,21,45))</f>
        <v/>
      </c>
      <c r="Q237" s="166"/>
      <c r="R237" s="169"/>
    </row>
    <row r="238" customFormat="false" ht="15" hidden="false" customHeight="false" outlineLevel="0" collapsed="false">
      <c r="A238" s="23" t="n">
        <v>237</v>
      </c>
      <c r="B238" s="23" t="s">
        <v>66</v>
      </c>
      <c r="C238" s="37" t="s">
        <v>35</v>
      </c>
      <c r="D238" s="104" t="s">
        <v>325</v>
      </c>
      <c r="E238" s="104" t="s">
        <v>329</v>
      </c>
      <c r="F238" s="23" t="n">
        <v>572</v>
      </c>
      <c r="G238" s="161" t="s">
        <v>1127</v>
      </c>
      <c r="H238" s="162" t="s">
        <v>7</v>
      </c>
      <c r="I238" s="163" t="s">
        <v>13</v>
      </c>
      <c r="J238" s="164" t="s">
        <v>649</v>
      </c>
      <c r="K238" s="23"/>
      <c r="L238" s="165" t="s">
        <v>1128</v>
      </c>
      <c r="M238" s="166" t="s">
        <v>656</v>
      </c>
      <c r="N238" s="167"/>
      <c r="O238" s="166" t="n">
        <v>0</v>
      </c>
      <c r="P238" s="168" t="str">
        <f aca="false">IF(N238="","",N238+CHOOSE(MIN(O238,3)+1,3,7,21,45))</f>
        <v/>
      </c>
      <c r="Q238" s="166"/>
      <c r="R238" s="169"/>
    </row>
    <row r="239" customFormat="false" ht="15" hidden="false" customHeight="false" outlineLevel="0" collapsed="false">
      <c r="A239" s="23" t="n">
        <v>238</v>
      </c>
      <c r="B239" s="23" t="s">
        <v>66</v>
      </c>
      <c r="C239" s="37" t="s">
        <v>35</v>
      </c>
      <c r="D239" s="104" t="s">
        <v>325</v>
      </c>
      <c r="E239" s="104" t="s">
        <v>329</v>
      </c>
      <c r="F239" s="23" t="n">
        <v>617</v>
      </c>
      <c r="G239" s="161" t="s">
        <v>1129</v>
      </c>
      <c r="H239" s="162" t="s">
        <v>7</v>
      </c>
      <c r="I239" s="171" t="s">
        <v>653</v>
      </c>
      <c r="J239" s="172" t="s">
        <v>654</v>
      </c>
      <c r="K239" s="23"/>
      <c r="L239" s="165" t="s">
        <v>1130</v>
      </c>
      <c r="M239" s="166" t="s">
        <v>656</v>
      </c>
      <c r="N239" s="167"/>
      <c r="O239" s="166" t="n">
        <v>0</v>
      </c>
      <c r="P239" s="168" t="str">
        <f aca="false">IF(N239="","",N239+CHOOSE(MIN(O239,3)+1,3,7,21,45))</f>
        <v/>
      </c>
      <c r="Q239" s="166"/>
      <c r="R239" s="169"/>
    </row>
    <row r="240" customFormat="false" ht="15" hidden="false" customHeight="false" outlineLevel="0" collapsed="false">
      <c r="A240" s="23" t="n">
        <v>239</v>
      </c>
      <c r="B240" s="23" t="s">
        <v>66</v>
      </c>
      <c r="C240" s="37" t="s">
        <v>35</v>
      </c>
      <c r="D240" s="104" t="s">
        <v>325</v>
      </c>
      <c r="E240" s="104" t="s">
        <v>329</v>
      </c>
      <c r="F240" s="23" t="n">
        <v>872</v>
      </c>
      <c r="G240" s="161" t="s">
        <v>1131</v>
      </c>
      <c r="H240" s="162" t="s">
        <v>7</v>
      </c>
      <c r="I240" s="171" t="s">
        <v>653</v>
      </c>
      <c r="J240" s="172" t="s">
        <v>654</v>
      </c>
      <c r="K240" s="23"/>
      <c r="L240" s="165" t="s">
        <v>1132</v>
      </c>
      <c r="M240" s="166" t="s">
        <v>656</v>
      </c>
      <c r="N240" s="167"/>
      <c r="O240" s="166" t="n">
        <v>0</v>
      </c>
      <c r="P240" s="168" t="str">
        <f aca="false">IF(N240="","",N240+CHOOSE(MIN(O240,3)+1,3,7,21,45))</f>
        <v/>
      </c>
      <c r="Q240" s="166"/>
      <c r="R240" s="169"/>
    </row>
    <row r="241" customFormat="false" ht="15" hidden="false" customHeight="false" outlineLevel="0" collapsed="false">
      <c r="A241" s="23" t="n">
        <v>240</v>
      </c>
      <c r="B241" s="23" t="s">
        <v>66</v>
      </c>
      <c r="C241" s="37" t="s">
        <v>35</v>
      </c>
      <c r="D241" s="104" t="s">
        <v>332</v>
      </c>
      <c r="E241" s="104" t="s">
        <v>333</v>
      </c>
      <c r="F241" s="23" t="n">
        <v>637</v>
      </c>
      <c r="G241" s="161" t="s">
        <v>1133</v>
      </c>
      <c r="H241" s="162" t="s">
        <v>7</v>
      </c>
      <c r="I241" s="171" t="s">
        <v>653</v>
      </c>
      <c r="J241" s="172" t="s">
        <v>654</v>
      </c>
      <c r="K241" s="23"/>
      <c r="L241" s="165" t="s">
        <v>1134</v>
      </c>
      <c r="M241" s="166" t="s">
        <v>656</v>
      </c>
      <c r="N241" s="167"/>
      <c r="O241" s="166" t="n">
        <v>0</v>
      </c>
      <c r="P241" s="168" t="str">
        <f aca="false">IF(N241="","",N241+CHOOSE(MIN(O241,3)+1,3,7,21,45))</f>
        <v/>
      </c>
      <c r="Q241" s="166"/>
      <c r="R241" s="169"/>
    </row>
    <row r="242" customFormat="false" ht="15" hidden="false" customHeight="false" outlineLevel="0" collapsed="false">
      <c r="A242" s="23" t="n">
        <v>241</v>
      </c>
      <c r="B242" s="23" t="s">
        <v>66</v>
      </c>
      <c r="C242" s="37" t="s">
        <v>35</v>
      </c>
      <c r="D242" s="104" t="s">
        <v>332</v>
      </c>
      <c r="E242" s="104" t="s">
        <v>333</v>
      </c>
      <c r="F242" s="23" t="n">
        <v>102</v>
      </c>
      <c r="G242" s="161" t="s">
        <v>1135</v>
      </c>
      <c r="H242" s="170" t="s">
        <v>9</v>
      </c>
      <c r="I242" s="163" t="s">
        <v>13</v>
      </c>
      <c r="J242" s="164" t="s">
        <v>649</v>
      </c>
      <c r="K242" s="23"/>
      <c r="L242" s="165" t="s">
        <v>1136</v>
      </c>
      <c r="M242" s="166" t="s">
        <v>656</v>
      </c>
      <c r="N242" s="167"/>
      <c r="O242" s="166" t="n">
        <v>0</v>
      </c>
      <c r="P242" s="168" t="str">
        <f aca="false">IF(N242="","",N242+CHOOSE(MIN(O242,3)+1,3,7,21,45))</f>
        <v/>
      </c>
      <c r="Q242" s="166"/>
      <c r="R242" s="169"/>
    </row>
    <row r="243" customFormat="false" ht="15" hidden="false" customHeight="false" outlineLevel="0" collapsed="false">
      <c r="A243" s="23" t="n">
        <v>242</v>
      </c>
      <c r="B243" s="23" t="s">
        <v>66</v>
      </c>
      <c r="C243" s="37" t="s">
        <v>35</v>
      </c>
      <c r="D243" s="104" t="s">
        <v>332</v>
      </c>
      <c r="E243" s="104" t="s">
        <v>333</v>
      </c>
      <c r="F243" s="23" t="n">
        <v>103</v>
      </c>
      <c r="G243" s="161" t="s">
        <v>1137</v>
      </c>
      <c r="H243" s="170" t="s">
        <v>9</v>
      </c>
      <c r="I243" s="176" t="s">
        <v>15</v>
      </c>
      <c r="J243" s="174" t="s">
        <v>669</v>
      </c>
      <c r="K243" s="23"/>
      <c r="L243" s="165" t="s">
        <v>1138</v>
      </c>
      <c r="M243" s="166" t="s">
        <v>656</v>
      </c>
      <c r="N243" s="167"/>
      <c r="O243" s="166" t="n">
        <v>0</v>
      </c>
      <c r="P243" s="168" t="str">
        <f aca="false">IF(N243="","",N243+CHOOSE(MIN(O243,3)+1,3,7,21,45))</f>
        <v/>
      </c>
      <c r="Q243" s="166"/>
      <c r="R243" s="169"/>
    </row>
    <row r="244" customFormat="false" ht="15" hidden="false" customHeight="false" outlineLevel="0" collapsed="false">
      <c r="A244" s="23" t="n">
        <v>243</v>
      </c>
      <c r="B244" s="23" t="s">
        <v>66</v>
      </c>
      <c r="C244" s="37" t="s">
        <v>35</v>
      </c>
      <c r="D244" s="104" t="s">
        <v>332</v>
      </c>
      <c r="E244" s="104" t="s">
        <v>333</v>
      </c>
      <c r="F244" s="23" t="n">
        <v>199</v>
      </c>
      <c r="G244" s="161" t="s">
        <v>1139</v>
      </c>
      <c r="H244" s="170" t="s">
        <v>9</v>
      </c>
      <c r="I244" s="173" t="s">
        <v>668</v>
      </c>
      <c r="J244" s="174" t="s">
        <v>669</v>
      </c>
      <c r="K244" s="23"/>
      <c r="L244" s="165" t="s">
        <v>1140</v>
      </c>
      <c r="M244" s="166" t="s">
        <v>656</v>
      </c>
      <c r="N244" s="167"/>
      <c r="O244" s="166" t="n">
        <v>0</v>
      </c>
      <c r="P244" s="168" t="str">
        <f aca="false">IF(N244="","",N244+CHOOSE(MIN(O244,3)+1,3,7,21,45))</f>
        <v/>
      </c>
      <c r="Q244" s="166"/>
      <c r="R244" s="169"/>
    </row>
    <row r="245" customFormat="false" ht="15" hidden="false" customHeight="false" outlineLevel="0" collapsed="false">
      <c r="A245" s="23" t="n">
        <v>244</v>
      </c>
      <c r="B245" s="23" t="s">
        <v>66</v>
      </c>
      <c r="C245" s="37" t="s">
        <v>35</v>
      </c>
      <c r="D245" s="104" t="s">
        <v>332</v>
      </c>
      <c r="E245" s="104" t="s">
        <v>333</v>
      </c>
      <c r="F245" s="23" t="n">
        <v>1161</v>
      </c>
      <c r="G245" s="161" t="s">
        <v>1141</v>
      </c>
      <c r="H245" s="170" t="s">
        <v>9</v>
      </c>
      <c r="I245" s="171" t="s">
        <v>653</v>
      </c>
      <c r="J245" s="172" t="s">
        <v>654</v>
      </c>
      <c r="K245" s="23"/>
      <c r="L245" s="165" t="s">
        <v>1142</v>
      </c>
      <c r="M245" s="166" t="s">
        <v>656</v>
      </c>
      <c r="N245" s="167"/>
      <c r="O245" s="166" t="n">
        <v>0</v>
      </c>
      <c r="P245" s="168" t="str">
        <f aca="false">IF(N245="","",N245+CHOOSE(MIN(O245,3)+1,3,7,21,45))</f>
        <v/>
      </c>
      <c r="Q245" s="166"/>
      <c r="R245" s="169"/>
    </row>
    <row r="246" customFormat="false" ht="15" hidden="false" customHeight="false" outlineLevel="0" collapsed="false">
      <c r="A246" s="23" t="n">
        <v>245</v>
      </c>
      <c r="B246" s="23" t="s">
        <v>66</v>
      </c>
      <c r="C246" s="37" t="s">
        <v>35</v>
      </c>
      <c r="D246" s="104" t="s">
        <v>332</v>
      </c>
      <c r="E246" s="104" t="s">
        <v>333</v>
      </c>
      <c r="F246" s="23" t="n">
        <v>662</v>
      </c>
      <c r="G246" s="161" t="s">
        <v>1143</v>
      </c>
      <c r="H246" s="170" t="s">
        <v>9</v>
      </c>
      <c r="I246" s="171" t="s">
        <v>653</v>
      </c>
      <c r="J246" s="172" t="s">
        <v>654</v>
      </c>
      <c r="K246" s="23"/>
      <c r="L246" s="165" t="s">
        <v>1144</v>
      </c>
      <c r="M246" s="166" t="s">
        <v>656</v>
      </c>
      <c r="N246" s="167"/>
      <c r="O246" s="166" t="n">
        <v>0</v>
      </c>
      <c r="P246" s="168" t="str">
        <f aca="false">IF(N246="","",N246+CHOOSE(MIN(O246,3)+1,3,7,21,45))</f>
        <v/>
      </c>
      <c r="Q246" s="166"/>
      <c r="R246" s="169"/>
    </row>
    <row r="247" customFormat="false" ht="15" hidden="false" customHeight="false" outlineLevel="0" collapsed="false">
      <c r="A247" s="23" t="n">
        <v>246</v>
      </c>
      <c r="B247" s="23" t="s">
        <v>66</v>
      </c>
      <c r="C247" s="37" t="s">
        <v>35</v>
      </c>
      <c r="D247" s="104" t="s">
        <v>332</v>
      </c>
      <c r="E247" s="104" t="s">
        <v>333</v>
      </c>
      <c r="F247" s="23" t="n">
        <v>116</v>
      </c>
      <c r="G247" s="161" t="s">
        <v>1145</v>
      </c>
      <c r="H247" s="170" t="s">
        <v>9</v>
      </c>
      <c r="I247" s="171" t="s">
        <v>653</v>
      </c>
      <c r="J247" s="172" t="s">
        <v>654</v>
      </c>
      <c r="K247" s="23"/>
      <c r="L247" s="165" t="s">
        <v>1146</v>
      </c>
      <c r="M247" s="166" t="s">
        <v>656</v>
      </c>
      <c r="N247" s="167"/>
      <c r="O247" s="166" t="n">
        <v>0</v>
      </c>
      <c r="P247" s="168" t="str">
        <f aca="false">IF(N247="","",N247+CHOOSE(MIN(O247,3)+1,3,7,21,45))</f>
        <v/>
      </c>
      <c r="Q247" s="166"/>
      <c r="R247" s="169"/>
    </row>
    <row r="248" customFormat="false" ht="15" hidden="false" customHeight="false" outlineLevel="0" collapsed="false">
      <c r="A248" s="23" t="n">
        <v>247</v>
      </c>
      <c r="B248" s="23" t="s">
        <v>66</v>
      </c>
      <c r="C248" s="37" t="s">
        <v>35</v>
      </c>
      <c r="D248" s="104" t="s">
        <v>332</v>
      </c>
      <c r="E248" s="104" t="s">
        <v>336</v>
      </c>
      <c r="F248" s="23" t="n">
        <v>863</v>
      </c>
      <c r="G248" s="161" t="s">
        <v>1147</v>
      </c>
      <c r="H248" s="170" t="s">
        <v>9</v>
      </c>
      <c r="I248" s="176" t="s">
        <v>15</v>
      </c>
      <c r="J248" s="174" t="s">
        <v>669</v>
      </c>
      <c r="K248" s="23"/>
      <c r="L248" s="165" t="s">
        <v>1148</v>
      </c>
      <c r="M248" s="166" t="s">
        <v>656</v>
      </c>
      <c r="N248" s="167"/>
      <c r="O248" s="166" t="n">
        <v>0</v>
      </c>
      <c r="P248" s="168" t="str">
        <f aca="false">IF(N248="","",N248+CHOOSE(MIN(O248,3)+1,3,7,21,45))</f>
        <v/>
      </c>
      <c r="Q248" s="166"/>
      <c r="R248" s="169"/>
    </row>
    <row r="249" customFormat="false" ht="15" hidden="false" customHeight="false" outlineLevel="0" collapsed="false">
      <c r="A249" s="23" t="n">
        <v>248</v>
      </c>
      <c r="B249" s="23" t="s">
        <v>66</v>
      </c>
      <c r="C249" s="37" t="s">
        <v>35</v>
      </c>
      <c r="D249" s="104" t="s">
        <v>332</v>
      </c>
      <c r="E249" s="104" t="s">
        <v>336</v>
      </c>
      <c r="F249" s="23" t="n">
        <v>2385</v>
      </c>
      <c r="G249" s="161" t="s">
        <v>1149</v>
      </c>
      <c r="H249" s="170" t="s">
        <v>9</v>
      </c>
      <c r="I249" s="171" t="s">
        <v>653</v>
      </c>
      <c r="J249" s="172" t="s">
        <v>654</v>
      </c>
      <c r="K249" s="23"/>
      <c r="L249" s="165" t="s">
        <v>1150</v>
      </c>
      <c r="M249" s="166" t="s">
        <v>656</v>
      </c>
      <c r="N249" s="167"/>
      <c r="O249" s="166" t="n">
        <v>0</v>
      </c>
      <c r="P249" s="168" t="str">
        <f aca="false">IF(N249="","",N249+CHOOSE(MIN(O249,3)+1,3,7,21,45))</f>
        <v/>
      </c>
      <c r="Q249" s="166"/>
      <c r="R249" s="169"/>
    </row>
    <row r="250" customFormat="false" ht="15" hidden="false" customHeight="false" outlineLevel="0" collapsed="false">
      <c r="A250" s="23" t="n">
        <v>249</v>
      </c>
      <c r="B250" s="23" t="s">
        <v>66</v>
      </c>
      <c r="C250" s="37" t="s">
        <v>35</v>
      </c>
      <c r="D250" s="104" t="s">
        <v>332</v>
      </c>
      <c r="E250" s="104" t="s">
        <v>336</v>
      </c>
      <c r="F250" s="23" t="n">
        <v>987</v>
      </c>
      <c r="G250" s="161" t="s">
        <v>1151</v>
      </c>
      <c r="H250" s="175" t="s">
        <v>11</v>
      </c>
      <c r="I250" s="176" t="s">
        <v>15</v>
      </c>
      <c r="J250" s="174" t="s">
        <v>669</v>
      </c>
      <c r="K250" s="23"/>
      <c r="L250" s="165" t="s">
        <v>1152</v>
      </c>
      <c r="M250" s="166" t="s">
        <v>656</v>
      </c>
      <c r="N250" s="167"/>
      <c r="O250" s="166" t="n">
        <v>0</v>
      </c>
      <c r="P250" s="168" t="str">
        <f aca="false">IF(N250="","",N250+CHOOSE(MIN(O250,3)+1,3,7,21,45))</f>
        <v/>
      </c>
      <c r="Q250" s="166"/>
      <c r="R250" s="169"/>
    </row>
    <row r="251" customFormat="false" ht="23.85" hidden="false" customHeight="false" outlineLevel="0" collapsed="false">
      <c r="A251" s="23" t="n">
        <v>250</v>
      </c>
      <c r="B251" s="23" t="s">
        <v>68</v>
      </c>
      <c r="C251" s="37" t="s">
        <v>35</v>
      </c>
      <c r="D251" s="104" t="s">
        <v>339</v>
      </c>
      <c r="E251" s="104" t="s">
        <v>340</v>
      </c>
      <c r="F251" s="23" t="n">
        <v>104</v>
      </c>
      <c r="G251" s="161" t="s">
        <v>1153</v>
      </c>
      <c r="H251" s="162" t="s">
        <v>7</v>
      </c>
      <c r="I251" s="163" t="s">
        <v>13</v>
      </c>
      <c r="J251" s="164" t="s">
        <v>649</v>
      </c>
      <c r="K251" s="23"/>
      <c r="L251" s="165" t="s">
        <v>1154</v>
      </c>
      <c r="M251" s="166" t="s">
        <v>656</v>
      </c>
      <c r="N251" s="167"/>
      <c r="O251" s="166" t="n">
        <v>0</v>
      </c>
      <c r="P251" s="168" t="str">
        <f aca="false">IF(N251="","",N251+CHOOSE(MIN(O251,3)+1,3,7,21,45))</f>
        <v/>
      </c>
      <c r="Q251" s="166"/>
      <c r="R251" s="169"/>
    </row>
    <row r="252" customFormat="false" ht="23.85" hidden="false" customHeight="false" outlineLevel="0" collapsed="false">
      <c r="A252" s="23" t="n">
        <v>251</v>
      </c>
      <c r="B252" s="23" t="s">
        <v>68</v>
      </c>
      <c r="C252" s="37" t="s">
        <v>35</v>
      </c>
      <c r="D252" s="104" t="s">
        <v>339</v>
      </c>
      <c r="E252" s="104" t="s">
        <v>340</v>
      </c>
      <c r="F252" s="23" t="n">
        <v>111</v>
      </c>
      <c r="G252" s="161" t="s">
        <v>1155</v>
      </c>
      <c r="H252" s="162" t="s">
        <v>7</v>
      </c>
      <c r="I252" s="171" t="s">
        <v>653</v>
      </c>
      <c r="J252" s="172" t="s">
        <v>654</v>
      </c>
      <c r="K252" s="23"/>
      <c r="L252" s="165" t="s">
        <v>1156</v>
      </c>
      <c r="M252" s="166" t="s">
        <v>656</v>
      </c>
      <c r="N252" s="167"/>
      <c r="O252" s="166" t="n">
        <v>0</v>
      </c>
      <c r="P252" s="168" t="str">
        <f aca="false">IF(N252="","",N252+CHOOSE(MIN(O252,3)+1,3,7,21,45))</f>
        <v/>
      </c>
      <c r="Q252" s="166"/>
      <c r="R252" s="169"/>
    </row>
    <row r="253" customFormat="false" ht="23.85" hidden="false" customHeight="false" outlineLevel="0" collapsed="false">
      <c r="A253" s="23" t="n">
        <v>252</v>
      </c>
      <c r="B253" s="23" t="s">
        <v>68</v>
      </c>
      <c r="C253" s="37" t="s">
        <v>35</v>
      </c>
      <c r="D253" s="104" t="s">
        <v>339</v>
      </c>
      <c r="E253" s="104" t="s">
        <v>340</v>
      </c>
      <c r="F253" s="23" t="n">
        <v>110</v>
      </c>
      <c r="G253" s="161" t="s">
        <v>1157</v>
      </c>
      <c r="H253" s="162" t="s">
        <v>7</v>
      </c>
      <c r="I253" s="173" t="s">
        <v>668</v>
      </c>
      <c r="J253" s="174" t="s">
        <v>669</v>
      </c>
      <c r="K253" s="23"/>
      <c r="L253" s="165" t="s">
        <v>1158</v>
      </c>
      <c r="M253" s="166" t="s">
        <v>656</v>
      </c>
      <c r="N253" s="167"/>
      <c r="O253" s="166" t="n">
        <v>0</v>
      </c>
      <c r="P253" s="168" t="str">
        <f aca="false">IF(N253="","",N253+CHOOSE(MIN(O253,3)+1,3,7,21,45))</f>
        <v/>
      </c>
      <c r="Q253" s="166"/>
      <c r="R253" s="169"/>
    </row>
    <row r="254" customFormat="false" ht="23.85" hidden="false" customHeight="false" outlineLevel="0" collapsed="false">
      <c r="A254" s="23" t="n">
        <v>253</v>
      </c>
      <c r="B254" s="23" t="s">
        <v>68</v>
      </c>
      <c r="C254" s="37" t="s">
        <v>35</v>
      </c>
      <c r="D254" s="104" t="s">
        <v>339</v>
      </c>
      <c r="E254" s="104" t="s">
        <v>340</v>
      </c>
      <c r="F254" s="23" t="n">
        <v>543</v>
      </c>
      <c r="G254" s="161" t="s">
        <v>1159</v>
      </c>
      <c r="H254" s="162" t="s">
        <v>7</v>
      </c>
      <c r="I254" s="173" t="s">
        <v>668</v>
      </c>
      <c r="J254" s="174" t="s">
        <v>669</v>
      </c>
      <c r="K254" s="23"/>
      <c r="L254" s="165" t="s">
        <v>1160</v>
      </c>
      <c r="M254" s="166" t="s">
        <v>656</v>
      </c>
      <c r="N254" s="167"/>
      <c r="O254" s="166" t="n">
        <v>0</v>
      </c>
      <c r="P254" s="168" t="str">
        <f aca="false">IF(N254="","",N254+CHOOSE(MIN(O254,3)+1,3,7,21,45))</f>
        <v/>
      </c>
      <c r="Q254" s="166"/>
      <c r="R254" s="169"/>
    </row>
    <row r="255" customFormat="false" ht="23.85" hidden="false" customHeight="false" outlineLevel="0" collapsed="false">
      <c r="A255" s="23" t="n">
        <v>254</v>
      </c>
      <c r="B255" s="23" t="s">
        <v>68</v>
      </c>
      <c r="C255" s="37" t="s">
        <v>35</v>
      </c>
      <c r="D255" s="104" t="s">
        <v>339</v>
      </c>
      <c r="E255" s="104" t="s">
        <v>340</v>
      </c>
      <c r="F255" s="23" t="n">
        <v>124</v>
      </c>
      <c r="G255" s="161" t="s">
        <v>1161</v>
      </c>
      <c r="H255" s="175" t="s">
        <v>11</v>
      </c>
      <c r="I255" s="163" t="s">
        <v>13</v>
      </c>
      <c r="J255" s="164" t="s">
        <v>649</v>
      </c>
      <c r="K255" s="23"/>
      <c r="L255" s="165" t="s">
        <v>1162</v>
      </c>
      <c r="M255" s="166" t="s">
        <v>656</v>
      </c>
      <c r="N255" s="167"/>
      <c r="O255" s="166" t="n">
        <v>0</v>
      </c>
      <c r="P255" s="168" t="str">
        <f aca="false">IF(N255="","",N255+CHOOSE(MIN(O255,3)+1,3,7,21,45))</f>
        <v/>
      </c>
      <c r="Q255" s="166"/>
      <c r="R255" s="169"/>
    </row>
    <row r="256" customFormat="false" ht="15" hidden="false" customHeight="false" outlineLevel="0" collapsed="false">
      <c r="A256" s="23" t="n">
        <v>255</v>
      </c>
      <c r="B256" s="23" t="s">
        <v>68</v>
      </c>
      <c r="C256" s="37" t="s">
        <v>35</v>
      </c>
      <c r="D256" s="104" t="s">
        <v>339</v>
      </c>
      <c r="E256" s="104" t="s">
        <v>343</v>
      </c>
      <c r="F256" s="23" t="n">
        <v>112</v>
      </c>
      <c r="G256" s="161" t="s">
        <v>1163</v>
      </c>
      <c r="H256" s="162" t="s">
        <v>7</v>
      </c>
      <c r="I256" s="171" t="s">
        <v>653</v>
      </c>
      <c r="J256" s="172" t="s">
        <v>654</v>
      </c>
      <c r="K256" s="23"/>
      <c r="L256" s="165" t="s">
        <v>1164</v>
      </c>
      <c r="M256" s="166" t="s">
        <v>656</v>
      </c>
      <c r="N256" s="167"/>
      <c r="O256" s="166" t="n">
        <v>0</v>
      </c>
      <c r="P256" s="168" t="str">
        <f aca="false">IF(N256="","",N256+CHOOSE(MIN(O256,3)+1,3,7,21,45))</f>
        <v/>
      </c>
      <c r="Q256" s="166"/>
      <c r="R256" s="169"/>
    </row>
    <row r="257" customFormat="false" ht="15" hidden="false" customHeight="false" outlineLevel="0" collapsed="false">
      <c r="A257" s="23" t="n">
        <v>256</v>
      </c>
      <c r="B257" s="23" t="s">
        <v>68</v>
      </c>
      <c r="C257" s="37" t="s">
        <v>35</v>
      </c>
      <c r="D257" s="104" t="s">
        <v>339</v>
      </c>
      <c r="E257" s="104" t="s">
        <v>343</v>
      </c>
      <c r="F257" s="23" t="n">
        <v>257</v>
      </c>
      <c r="G257" s="161" t="s">
        <v>1165</v>
      </c>
      <c r="H257" s="162" t="s">
        <v>7</v>
      </c>
      <c r="I257" s="171" t="s">
        <v>653</v>
      </c>
      <c r="J257" s="172" t="s">
        <v>654</v>
      </c>
      <c r="K257" s="23"/>
      <c r="L257" s="165" t="s">
        <v>1166</v>
      </c>
      <c r="M257" s="166" t="s">
        <v>656</v>
      </c>
      <c r="N257" s="167"/>
      <c r="O257" s="166" t="n">
        <v>0</v>
      </c>
      <c r="P257" s="168" t="str">
        <f aca="false">IF(N257="","",N257+CHOOSE(MIN(O257,3)+1,3,7,21,45))</f>
        <v/>
      </c>
      <c r="Q257" s="166"/>
      <c r="R257" s="169"/>
    </row>
    <row r="258" customFormat="false" ht="15" hidden="false" customHeight="false" outlineLevel="0" collapsed="false">
      <c r="A258" s="23" t="n">
        <v>257</v>
      </c>
      <c r="B258" s="23" t="s">
        <v>68</v>
      </c>
      <c r="C258" s="37" t="s">
        <v>35</v>
      </c>
      <c r="D258" s="104" t="s">
        <v>339</v>
      </c>
      <c r="E258" s="104" t="s">
        <v>343</v>
      </c>
      <c r="F258" s="23" t="n">
        <v>113</v>
      </c>
      <c r="G258" s="161" t="s">
        <v>1167</v>
      </c>
      <c r="H258" s="170" t="s">
        <v>9</v>
      </c>
      <c r="I258" s="171" t="s">
        <v>653</v>
      </c>
      <c r="J258" s="172" t="s">
        <v>654</v>
      </c>
      <c r="K258" s="23"/>
      <c r="L258" s="165" t="s">
        <v>1168</v>
      </c>
      <c r="M258" s="166" t="s">
        <v>656</v>
      </c>
      <c r="N258" s="167"/>
      <c r="O258" s="166" t="n">
        <v>0</v>
      </c>
      <c r="P258" s="168" t="str">
        <f aca="false">IF(N258="","",N258+CHOOSE(MIN(O258,3)+1,3,7,21,45))</f>
        <v/>
      </c>
      <c r="Q258" s="166"/>
      <c r="R258" s="169"/>
    </row>
    <row r="259" customFormat="false" ht="15" hidden="false" customHeight="false" outlineLevel="0" collapsed="false">
      <c r="A259" s="23" t="n">
        <v>258</v>
      </c>
      <c r="B259" s="23" t="s">
        <v>68</v>
      </c>
      <c r="C259" s="37" t="s">
        <v>35</v>
      </c>
      <c r="D259" s="104" t="s">
        <v>339</v>
      </c>
      <c r="E259" s="104" t="s">
        <v>343</v>
      </c>
      <c r="F259" s="23" t="n">
        <v>129</v>
      </c>
      <c r="G259" s="161" t="s">
        <v>1169</v>
      </c>
      <c r="H259" s="170" t="s">
        <v>9</v>
      </c>
      <c r="I259" s="171" t="s">
        <v>653</v>
      </c>
      <c r="J259" s="172" t="s">
        <v>654</v>
      </c>
      <c r="K259" s="23"/>
      <c r="L259" s="165" t="s">
        <v>1170</v>
      </c>
      <c r="M259" s="166" t="s">
        <v>656</v>
      </c>
      <c r="N259" s="167"/>
      <c r="O259" s="166" t="n">
        <v>0</v>
      </c>
      <c r="P259" s="168" t="str">
        <f aca="false">IF(N259="","",N259+CHOOSE(MIN(O259,3)+1,3,7,21,45))</f>
        <v/>
      </c>
      <c r="Q259" s="166"/>
      <c r="R259" s="169"/>
    </row>
    <row r="260" customFormat="false" ht="15" hidden="false" customHeight="false" outlineLevel="0" collapsed="false">
      <c r="A260" s="23" t="n">
        <v>259</v>
      </c>
      <c r="B260" s="23" t="s">
        <v>68</v>
      </c>
      <c r="C260" s="37" t="s">
        <v>35</v>
      </c>
      <c r="D260" s="104" t="s">
        <v>339</v>
      </c>
      <c r="E260" s="104" t="s">
        <v>343</v>
      </c>
      <c r="F260" s="23" t="n">
        <v>1448</v>
      </c>
      <c r="G260" s="161" t="s">
        <v>1171</v>
      </c>
      <c r="H260" s="170" t="s">
        <v>9</v>
      </c>
      <c r="I260" s="173" t="s">
        <v>668</v>
      </c>
      <c r="J260" s="174" t="s">
        <v>669</v>
      </c>
      <c r="K260" s="23"/>
      <c r="L260" s="165" t="s">
        <v>1172</v>
      </c>
      <c r="M260" s="166" t="s">
        <v>656</v>
      </c>
      <c r="N260" s="167"/>
      <c r="O260" s="166" t="n">
        <v>0</v>
      </c>
      <c r="P260" s="168" t="str">
        <f aca="false">IF(N260="","",N260+CHOOSE(MIN(O260,3)+1,3,7,21,45))</f>
        <v/>
      </c>
      <c r="Q260" s="166"/>
      <c r="R260" s="169"/>
    </row>
    <row r="261" customFormat="false" ht="15" hidden="false" customHeight="false" outlineLevel="0" collapsed="false">
      <c r="A261" s="23" t="n">
        <v>260</v>
      </c>
      <c r="B261" s="23" t="s">
        <v>68</v>
      </c>
      <c r="C261" s="37" t="s">
        <v>35</v>
      </c>
      <c r="D261" s="104" t="s">
        <v>339</v>
      </c>
      <c r="E261" s="104" t="s">
        <v>343</v>
      </c>
      <c r="F261" s="23" t="n">
        <v>437</v>
      </c>
      <c r="G261" s="161" t="s">
        <v>1173</v>
      </c>
      <c r="H261" s="170" t="s">
        <v>9</v>
      </c>
      <c r="I261" s="176" t="s">
        <v>15</v>
      </c>
      <c r="J261" s="174" t="s">
        <v>669</v>
      </c>
      <c r="K261" s="23"/>
      <c r="L261" s="165" t="s">
        <v>1174</v>
      </c>
      <c r="M261" s="166" t="s">
        <v>656</v>
      </c>
      <c r="N261" s="167"/>
      <c r="O261" s="166" t="n">
        <v>0</v>
      </c>
      <c r="P261" s="168" t="str">
        <f aca="false">IF(N261="","",N261+CHOOSE(MIN(O261,3)+1,3,7,21,45))</f>
        <v/>
      </c>
      <c r="Q261" s="166"/>
      <c r="R261" s="169"/>
    </row>
    <row r="262" customFormat="false" ht="15" hidden="false" customHeight="false" outlineLevel="0" collapsed="false">
      <c r="A262" s="23" t="n">
        <v>261</v>
      </c>
      <c r="B262" s="23" t="s">
        <v>68</v>
      </c>
      <c r="C262" s="37" t="s">
        <v>35</v>
      </c>
      <c r="D262" s="104" t="s">
        <v>339</v>
      </c>
      <c r="E262" s="104" t="s">
        <v>343</v>
      </c>
      <c r="F262" s="23" t="n">
        <v>1372</v>
      </c>
      <c r="G262" s="161" t="s">
        <v>1175</v>
      </c>
      <c r="H262" s="170" t="s">
        <v>9</v>
      </c>
      <c r="I262" s="171" t="s">
        <v>653</v>
      </c>
      <c r="J262" s="172" t="s">
        <v>654</v>
      </c>
      <c r="K262" s="23"/>
      <c r="L262" s="165" t="s">
        <v>1176</v>
      </c>
      <c r="M262" s="166" t="s">
        <v>656</v>
      </c>
      <c r="N262" s="167"/>
      <c r="O262" s="166" t="n">
        <v>0</v>
      </c>
      <c r="P262" s="168" t="str">
        <f aca="false">IF(N262="","",N262+CHOOSE(MIN(O262,3)+1,3,7,21,45))</f>
        <v/>
      </c>
      <c r="Q262" s="166"/>
      <c r="R262" s="169"/>
    </row>
    <row r="263" customFormat="false" ht="15" hidden="false" customHeight="false" outlineLevel="0" collapsed="false">
      <c r="A263" s="23" t="n">
        <v>262</v>
      </c>
      <c r="B263" s="23" t="s">
        <v>68</v>
      </c>
      <c r="C263" s="37" t="s">
        <v>35</v>
      </c>
      <c r="D263" s="104" t="s">
        <v>339</v>
      </c>
      <c r="E263" s="104" t="s">
        <v>346</v>
      </c>
      <c r="F263" s="23" t="n">
        <v>235</v>
      </c>
      <c r="G263" s="161" t="s">
        <v>1177</v>
      </c>
      <c r="H263" s="170" t="s">
        <v>9</v>
      </c>
      <c r="I263" s="163" t="s">
        <v>13</v>
      </c>
      <c r="J263" s="164" t="s">
        <v>649</v>
      </c>
      <c r="K263" s="23"/>
      <c r="L263" s="165" t="s">
        <v>1178</v>
      </c>
      <c r="M263" s="166" t="s">
        <v>656</v>
      </c>
      <c r="N263" s="167"/>
      <c r="O263" s="166" t="n">
        <v>0</v>
      </c>
      <c r="P263" s="168" t="str">
        <f aca="false">IF(N263="","",N263+CHOOSE(MIN(O263,3)+1,3,7,21,45))</f>
        <v/>
      </c>
      <c r="Q263" s="166"/>
      <c r="R263" s="169"/>
    </row>
    <row r="264" customFormat="false" ht="15" hidden="false" customHeight="false" outlineLevel="0" collapsed="false">
      <c r="A264" s="23" t="n">
        <v>263</v>
      </c>
      <c r="B264" s="23" t="s">
        <v>68</v>
      </c>
      <c r="C264" s="37" t="s">
        <v>35</v>
      </c>
      <c r="D264" s="104" t="s">
        <v>339</v>
      </c>
      <c r="E264" s="104" t="s">
        <v>346</v>
      </c>
      <c r="F264" s="23" t="n">
        <v>236</v>
      </c>
      <c r="G264" s="161" t="s">
        <v>1179</v>
      </c>
      <c r="H264" s="170" t="s">
        <v>9</v>
      </c>
      <c r="I264" s="176" t="s">
        <v>15</v>
      </c>
      <c r="J264" s="174" t="s">
        <v>669</v>
      </c>
      <c r="K264" s="23"/>
      <c r="L264" s="165" t="s">
        <v>1180</v>
      </c>
      <c r="M264" s="166" t="s">
        <v>656</v>
      </c>
      <c r="N264" s="167"/>
      <c r="O264" s="166" t="n">
        <v>0</v>
      </c>
      <c r="P264" s="168" t="str">
        <f aca="false">IF(N264="","",N264+CHOOSE(MIN(O264,3)+1,3,7,21,45))</f>
        <v/>
      </c>
      <c r="Q264" s="166"/>
      <c r="R264" s="169"/>
    </row>
    <row r="265" customFormat="false" ht="15" hidden="false" customHeight="false" outlineLevel="0" collapsed="false">
      <c r="A265" s="23" t="n">
        <v>264</v>
      </c>
      <c r="B265" s="23" t="s">
        <v>68</v>
      </c>
      <c r="C265" s="37" t="s">
        <v>35</v>
      </c>
      <c r="D265" s="104" t="s">
        <v>339</v>
      </c>
      <c r="E265" s="104" t="s">
        <v>346</v>
      </c>
      <c r="F265" s="23" t="n">
        <v>1123</v>
      </c>
      <c r="G265" s="161" t="s">
        <v>1181</v>
      </c>
      <c r="H265" s="170" t="s">
        <v>9</v>
      </c>
      <c r="I265" s="171" t="s">
        <v>653</v>
      </c>
      <c r="J265" s="172" t="s">
        <v>654</v>
      </c>
      <c r="K265" s="23"/>
      <c r="L265" s="165" t="s">
        <v>1182</v>
      </c>
      <c r="M265" s="166" t="s">
        <v>656</v>
      </c>
      <c r="N265" s="167"/>
      <c r="O265" s="166" t="n">
        <v>0</v>
      </c>
      <c r="P265" s="168" t="str">
        <f aca="false">IF(N265="","",N265+CHOOSE(MIN(O265,3)+1,3,7,21,45))</f>
        <v/>
      </c>
      <c r="Q265" s="166"/>
      <c r="R265" s="169"/>
    </row>
    <row r="266" customFormat="false" ht="15" hidden="false" customHeight="false" outlineLevel="0" collapsed="false">
      <c r="A266" s="23" t="n">
        <v>265</v>
      </c>
      <c r="B266" s="23" t="s">
        <v>68</v>
      </c>
      <c r="C266" s="37" t="s">
        <v>35</v>
      </c>
      <c r="D266" s="104" t="s">
        <v>349</v>
      </c>
      <c r="E266" s="104" t="s">
        <v>350</v>
      </c>
      <c r="F266" s="23" t="n">
        <v>700</v>
      </c>
      <c r="G266" s="161" t="s">
        <v>1183</v>
      </c>
      <c r="H266" s="162" t="s">
        <v>7</v>
      </c>
      <c r="I266" s="171" t="s">
        <v>653</v>
      </c>
      <c r="J266" s="172" t="s">
        <v>654</v>
      </c>
      <c r="K266" s="23"/>
      <c r="L266" s="165" t="s">
        <v>1184</v>
      </c>
      <c r="M266" s="166" t="s">
        <v>656</v>
      </c>
      <c r="N266" s="167"/>
      <c r="O266" s="166" t="n">
        <v>0</v>
      </c>
      <c r="P266" s="168" t="str">
        <f aca="false">IF(N266="","",N266+CHOOSE(MIN(O266,3)+1,3,7,21,45))</f>
        <v/>
      </c>
      <c r="Q266" s="166"/>
      <c r="R266" s="169"/>
    </row>
    <row r="267" customFormat="false" ht="15" hidden="false" customHeight="false" outlineLevel="0" collapsed="false">
      <c r="A267" s="23" t="n">
        <v>266</v>
      </c>
      <c r="B267" s="23" t="s">
        <v>68</v>
      </c>
      <c r="C267" s="37" t="s">
        <v>35</v>
      </c>
      <c r="D267" s="104" t="s">
        <v>349</v>
      </c>
      <c r="E267" s="104" t="s">
        <v>350</v>
      </c>
      <c r="F267" s="23" t="n">
        <v>108</v>
      </c>
      <c r="G267" s="161" t="s">
        <v>1185</v>
      </c>
      <c r="H267" s="162" t="s">
        <v>7</v>
      </c>
      <c r="I267" s="176" t="s">
        <v>15</v>
      </c>
      <c r="J267" s="174" t="s">
        <v>669</v>
      </c>
      <c r="K267" s="23"/>
      <c r="L267" s="165" t="s">
        <v>1186</v>
      </c>
      <c r="M267" s="166" t="s">
        <v>656</v>
      </c>
      <c r="N267" s="167"/>
      <c r="O267" s="166" t="n">
        <v>0</v>
      </c>
      <c r="P267" s="168" t="str">
        <f aca="false">IF(N267="","",N267+CHOOSE(MIN(O267,3)+1,3,7,21,45))</f>
        <v/>
      </c>
      <c r="Q267" s="166"/>
      <c r="R267" s="169"/>
    </row>
    <row r="268" customFormat="false" ht="15" hidden="false" customHeight="false" outlineLevel="0" collapsed="false">
      <c r="A268" s="23" t="n">
        <v>267</v>
      </c>
      <c r="B268" s="23" t="s">
        <v>68</v>
      </c>
      <c r="C268" s="37" t="s">
        <v>35</v>
      </c>
      <c r="D268" s="104" t="s">
        <v>349</v>
      </c>
      <c r="E268" s="104" t="s">
        <v>350</v>
      </c>
      <c r="F268" s="23" t="n">
        <v>701</v>
      </c>
      <c r="G268" s="161" t="s">
        <v>1187</v>
      </c>
      <c r="H268" s="170" t="s">
        <v>9</v>
      </c>
      <c r="I268" s="171" t="s">
        <v>653</v>
      </c>
      <c r="J268" s="172" t="s">
        <v>654</v>
      </c>
      <c r="K268" s="23"/>
      <c r="L268" s="165" t="s">
        <v>1188</v>
      </c>
      <c r="M268" s="166" t="s">
        <v>656</v>
      </c>
      <c r="N268" s="167"/>
      <c r="O268" s="166" t="n">
        <v>0</v>
      </c>
      <c r="P268" s="168" t="str">
        <f aca="false">IF(N268="","",N268+CHOOSE(MIN(O268,3)+1,3,7,21,45))</f>
        <v/>
      </c>
      <c r="Q268" s="166"/>
      <c r="R268" s="169"/>
    </row>
    <row r="269" customFormat="false" ht="15" hidden="false" customHeight="false" outlineLevel="0" collapsed="false">
      <c r="A269" s="23" t="n">
        <v>268</v>
      </c>
      <c r="B269" s="23" t="s">
        <v>68</v>
      </c>
      <c r="C269" s="37" t="s">
        <v>35</v>
      </c>
      <c r="D269" s="104" t="s">
        <v>349</v>
      </c>
      <c r="E269" s="104" t="s">
        <v>350</v>
      </c>
      <c r="F269" s="23" t="n">
        <v>450</v>
      </c>
      <c r="G269" s="161" t="s">
        <v>1189</v>
      </c>
      <c r="H269" s="170" t="s">
        <v>9</v>
      </c>
      <c r="I269" s="176" t="s">
        <v>15</v>
      </c>
      <c r="J269" s="174" t="s">
        <v>669</v>
      </c>
      <c r="K269" s="23"/>
      <c r="L269" s="165" t="s">
        <v>1190</v>
      </c>
      <c r="M269" s="166" t="s">
        <v>656</v>
      </c>
      <c r="N269" s="167"/>
      <c r="O269" s="166" t="n">
        <v>0</v>
      </c>
      <c r="P269" s="168" t="str">
        <f aca="false">IF(N269="","",N269+CHOOSE(MIN(O269,3)+1,3,7,21,45))</f>
        <v/>
      </c>
      <c r="Q269" s="166"/>
      <c r="R269" s="169"/>
    </row>
    <row r="270" customFormat="false" ht="15" hidden="false" customHeight="false" outlineLevel="0" collapsed="false">
      <c r="A270" s="23" t="n">
        <v>269</v>
      </c>
      <c r="B270" s="23" t="s">
        <v>68</v>
      </c>
      <c r="C270" s="37" t="s">
        <v>35</v>
      </c>
      <c r="D270" s="104" t="s">
        <v>349</v>
      </c>
      <c r="E270" s="104" t="s">
        <v>354</v>
      </c>
      <c r="F270" s="23" t="n">
        <v>530</v>
      </c>
      <c r="G270" s="161" t="s">
        <v>1191</v>
      </c>
      <c r="H270" s="162" t="s">
        <v>7</v>
      </c>
      <c r="I270" s="171" t="s">
        <v>653</v>
      </c>
      <c r="J270" s="172" t="s">
        <v>654</v>
      </c>
      <c r="K270" s="23"/>
      <c r="L270" s="165" t="s">
        <v>1192</v>
      </c>
      <c r="M270" s="166" t="s">
        <v>656</v>
      </c>
      <c r="N270" s="167"/>
      <c r="O270" s="166" t="n">
        <v>0</v>
      </c>
      <c r="P270" s="168" t="str">
        <f aca="false">IF(N270="","",N270+CHOOSE(MIN(O270,3)+1,3,7,21,45))</f>
        <v/>
      </c>
      <c r="Q270" s="166"/>
      <c r="R270" s="169"/>
    </row>
    <row r="271" customFormat="false" ht="15" hidden="false" customHeight="false" outlineLevel="0" collapsed="false">
      <c r="A271" s="23" t="n">
        <v>270</v>
      </c>
      <c r="B271" s="23" t="s">
        <v>68</v>
      </c>
      <c r="C271" s="37" t="s">
        <v>35</v>
      </c>
      <c r="D271" s="104" t="s">
        <v>349</v>
      </c>
      <c r="E271" s="104" t="s">
        <v>354</v>
      </c>
      <c r="F271" s="23" t="n">
        <v>98</v>
      </c>
      <c r="G271" s="161" t="s">
        <v>1193</v>
      </c>
      <c r="H271" s="170" t="s">
        <v>9</v>
      </c>
      <c r="I271" s="163" t="s">
        <v>13</v>
      </c>
      <c r="J271" s="164" t="s">
        <v>649</v>
      </c>
      <c r="K271" s="23"/>
      <c r="L271" s="165" t="s">
        <v>1194</v>
      </c>
      <c r="M271" s="166" t="s">
        <v>656</v>
      </c>
      <c r="N271" s="167"/>
      <c r="O271" s="166" t="n">
        <v>0</v>
      </c>
      <c r="P271" s="168" t="str">
        <f aca="false">IF(N271="","",N271+CHOOSE(MIN(O271,3)+1,3,7,21,45))</f>
        <v/>
      </c>
      <c r="Q271" s="166"/>
      <c r="R271" s="169"/>
    </row>
    <row r="272" customFormat="false" ht="15" hidden="false" customHeight="false" outlineLevel="0" collapsed="false">
      <c r="A272" s="23" t="n">
        <v>271</v>
      </c>
      <c r="B272" s="23" t="s">
        <v>68</v>
      </c>
      <c r="C272" s="37" t="s">
        <v>35</v>
      </c>
      <c r="D272" s="104" t="s">
        <v>349</v>
      </c>
      <c r="E272" s="104" t="s">
        <v>354</v>
      </c>
      <c r="F272" s="23" t="n">
        <v>230</v>
      </c>
      <c r="G272" s="161" t="s">
        <v>1195</v>
      </c>
      <c r="H272" s="170" t="s">
        <v>9</v>
      </c>
      <c r="I272" s="163" t="s">
        <v>13</v>
      </c>
      <c r="J272" s="164" t="s">
        <v>649</v>
      </c>
      <c r="K272" s="23"/>
      <c r="L272" s="165" t="s">
        <v>1196</v>
      </c>
      <c r="M272" s="166" t="s">
        <v>656</v>
      </c>
      <c r="N272" s="167"/>
      <c r="O272" s="166" t="n">
        <v>0</v>
      </c>
      <c r="P272" s="168" t="str">
        <f aca="false">IF(N272="","",N272+CHOOSE(MIN(O272,3)+1,3,7,21,45))</f>
        <v/>
      </c>
      <c r="Q272" s="166"/>
      <c r="R272" s="169"/>
    </row>
    <row r="273" customFormat="false" ht="15" hidden="false" customHeight="false" outlineLevel="0" collapsed="false">
      <c r="A273" s="23" t="n">
        <v>272</v>
      </c>
      <c r="B273" s="23" t="s">
        <v>68</v>
      </c>
      <c r="C273" s="37" t="s">
        <v>35</v>
      </c>
      <c r="D273" s="104" t="s">
        <v>349</v>
      </c>
      <c r="E273" s="104" t="s">
        <v>354</v>
      </c>
      <c r="F273" s="23" t="n">
        <v>173</v>
      </c>
      <c r="G273" s="161" t="s">
        <v>1197</v>
      </c>
      <c r="H273" s="170" t="s">
        <v>9</v>
      </c>
      <c r="I273" s="176" t="s">
        <v>15</v>
      </c>
      <c r="J273" s="174" t="s">
        <v>669</v>
      </c>
      <c r="K273" s="23"/>
      <c r="L273" s="165" t="s">
        <v>1198</v>
      </c>
      <c r="M273" s="166" t="s">
        <v>656</v>
      </c>
      <c r="N273" s="167"/>
      <c r="O273" s="166" t="n">
        <v>0</v>
      </c>
      <c r="P273" s="168" t="str">
        <f aca="false">IF(N273="","",N273+CHOOSE(MIN(O273,3)+1,3,7,21,45))</f>
        <v/>
      </c>
      <c r="Q273" s="166"/>
      <c r="R273" s="169"/>
    </row>
    <row r="274" customFormat="false" ht="15" hidden="false" customHeight="false" outlineLevel="0" collapsed="false">
      <c r="A274" s="23" t="n">
        <v>273</v>
      </c>
      <c r="B274" s="23" t="s">
        <v>68</v>
      </c>
      <c r="C274" s="37" t="s">
        <v>35</v>
      </c>
      <c r="D274" s="104" t="s">
        <v>349</v>
      </c>
      <c r="E274" s="104" t="s">
        <v>354</v>
      </c>
      <c r="F274" s="23" t="n">
        <v>99</v>
      </c>
      <c r="G274" s="161" t="s">
        <v>1199</v>
      </c>
      <c r="H274" s="170" t="s">
        <v>9</v>
      </c>
      <c r="I274" s="171" t="s">
        <v>653</v>
      </c>
      <c r="J274" s="172" t="s">
        <v>654</v>
      </c>
      <c r="K274" s="23"/>
      <c r="L274" s="165" t="s">
        <v>1200</v>
      </c>
      <c r="M274" s="166" t="s">
        <v>656</v>
      </c>
      <c r="N274" s="167"/>
      <c r="O274" s="166" t="n">
        <v>0</v>
      </c>
      <c r="P274" s="168" t="str">
        <f aca="false">IF(N274="","",N274+CHOOSE(MIN(O274,3)+1,3,7,21,45))</f>
        <v/>
      </c>
      <c r="Q274" s="166"/>
      <c r="R274" s="169"/>
    </row>
    <row r="275" customFormat="false" ht="23.85" hidden="false" customHeight="false" outlineLevel="0" collapsed="false">
      <c r="A275" s="23" t="n">
        <v>274</v>
      </c>
      <c r="B275" s="23" t="s">
        <v>68</v>
      </c>
      <c r="C275" s="37" t="s">
        <v>35</v>
      </c>
      <c r="D275" s="104" t="s">
        <v>358</v>
      </c>
      <c r="E275" s="104" t="s">
        <v>359</v>
      </c>
      <c r="F275" s="23" t="n">
        <v>105</v>
      </c>
      <c r="G275" s="161" t="s">
        <v>1201</v>
      </c>
      <c r="H275" s="170" t="s">
        <v>9</v>
      </c>
      <c r="I275" s="163" t="s">
        <v>13</v>
      </c>
      <c r="J275" s="164" t="s">
        <v>649</v>
      </c>
      <c r="K275" s="23"/>
      <c r="L275" s="165" t="s">
        <v>1202</v>
      </c>
      <c r="M275" s="166" t="s">
        <v>656</v>
      </c>
      <c r="N275" s="167"/>
      <c r="O275" s="166" t="n">
        <v>0</v>
      </c>
      <c r="P275" s="168" t="str">
        <f aca="false">IF(N275="","",N275+CHOOSE(MIN(O275,3)+1,3,7,21,45))</f>
        <v/>
      </c>
      <c r="Q275" s="166"/>
      <c r="R275" s="169"/>
    </row>
    <row r="276" customFormat="false" ht="23.85" hidden="false" customHeight="false" outlineLevel="0" collapsed="false">
      <c r="A276" s="23" t="n">
        <v>275</v>
      </c>
      <c r="B276" s="23" t="s">
        <v>68</v>
      </c>
      <c r="C276" s="37" t="s">
        <v>35</v>
      </c>
      <c r="D276" s="104" t="s">
        <v>358</v>
      </c>
      <c r="E276" s="104" t="s">
        <v>359</v>
      </c>
      <c r="F276" s="23" t="n">
        <v>106</v>
      </c>
      <c r="G276" s="161" t="s">
        <v>1203</v>
      </c>
      <c r="H276" s="170" t="s">
        <v>9</v>
      </c>
      <c r="I276" s="171" t="s">
        <v>653</v>
      </c>
      <c r="J276" s="172" t="s">
        <v>654</v>
      </c>
      <c r="K276" s="23"/>
      <c r="L276" s="165" t="s">
        <v>1204</v>
      </c>
      <c r="M276" s="166" t="s">
        <v>656</v>
      </c>
      <c r="N276" s="167"/>
      <c r="O276" s="166" t="n">
        <v>0</v>
      </c>
      <c r="P276" s="168" t="str">
        <f aca="false">IF(N276="","",N276+CHOOSE(MIN(O276,3)+1,3,7,21,45))</f>
        <v/>
      </c>
      <c r="Q276" s="166"/>
      <c r="R276" s="169"/>
    </row>
    <row r="277" customFormat="false" ht="23.85" hidden="false" customHeight="false" outlineLevel="0" collapsed="false">
      <c r="A277" s="23" t="n">
        <v>276</v>
      </c>
      <c r="B277" s="23" t="s">
        <v>68</v>
      </c>
      <c r="C277" s="37" t="s">
        <v>35</v>
      </c>
      <c r="D277" s="104" t="s">
        <v>358</v>
      </c>
      <c r="E277" s="104" t="s">
        <v>359</v>
      </c>
      <c r="F277" s="23" t="n">
        <v>1008</v>
      </c>
      <c r="G277" s="161" t="s">
        <v>1205</v>
      </c>
      <c r="H277" s="170" t="s">
        <v>9</v>
      </c>
      <c r="I277" s="171" t="s">
        <v>653</v>
      </c>
      <c r="J277" s="172" t="s">
        <v>654</v>
      </c>
      <c r="K277" s="23"/>
      <c r="L277" s="165" t="s">
        <v>1206</v>
      </c>
      <c r="M277" s="166" t="s">
        <v>656</v>
      </c>
      <c r="N277" s="167"/>
      <c r="O277" s="166" t="n">
        <v>0</v>
      </c>
      <c r="P277" s="168" t="str">
        <f aca="false">IF(N277="","",N277+CHOOSE(MIN(O277,3)+1,3,7,21,45))</f>
        <v/>
      </c>
      <c r="Q277" s="166"/>
      <c r="R277" s="169"/>
    </row>
    <row r="278" customFormat="false" ht="23.85" hidden="false" customHeight="false" outlineLevel="0" collapsed="false">
      <c r="A278" s="23" t="n">
        <v>277</v>
      </c>
      <c r="B278" s="23" t="s">
        <v>68</v>
      </c>
      <c r="C278" s="37" t="s">
        <v>35</v>
      </c>
      <c r="D278" s="104" t="s">
        <v>358</v>
      </c>
      <c r="E278" s="104" t="s">
        <v>359</v>
      </c>
      <c r="F278" s="23" t="n">
        <v>654</v>
      </c>
      <c r="G278" s="161" t="s">
        <v>1207</v>
      </c>
      <c r="H278" s="170" t="s">
        <v>9</v>
      </c>
      <c r="I278" s="171" t="s">
        <v>653</v>
      </c>
      <c r="J278" s="172" t="s">
        <v>654</v>
      </c>
      <c r="K278" s="23"/>
      <c r="L278" s="165" t="s">
        <v>1208</v>
      </c>
      <c r="M278" s="166" t="s">
        <v>656</v>
      </c>
      <c r="N278" s="167"/>
      <c r="O278" s="166" t="n">
        <v>0</v>
      </c>
      <c r="P278" s="168" t="str">
        <f aca="false">IF(N278="","",N278+CHOOSE(MIN(O278,3)+1,3,7,21,45))</f>
        <v/>
      </c>
      <c r="Q278" s="166"/>
      <c r="R278" s="169"/>
    </row>
    <row r="279" customFormat="false" ht="23.85" hidden="false" customHeight="false" outlineLevel="0" collapsed="false">
      <c r="A279" s="23" t="n">
        <v>278</v>
      </c>
      <c r="B279" s="23" t="s">
        <v>68</v>
      </c>
      <c r="C279" s="37" t="s">
        <v>35</v>
      </c>
      <c r="D279" s="104" t="s">
        <v>358</v>
      </c>
      <c r="E279" s="104" t="s">
        <v>362</v>
      </c>
      <c r="F279" s="23" t="n">
        <v>114</v>
      </c>
      <c r="G279" s="161" t="s">
        <v>1209</v>
      </c>
      <c r="H279" s="170" t="s">
        <v>9</v>
      </c>
      <c r="I279" s="176" t="s">
        <v>15</v>
      </c>
      <c r="J279" s="174" t="s">
        <v>669</v>
      </c>
      <c r="K279" s="23"/>
      <c r="L279" s="165" t="s">
        <v>1210</v>
      </c>
      <c r="M279" s="166" t="s">
        <v>656</v>
      </c>
      <c r="N279" s="167"/>
      <c r="O279" s="166" t="n">
        <v>0</v>
      </c>
      <c r="P279" s="168" t="str">
        <f aca="false">IF(N279="","",N279+CHOOSE(MIN(O279,3)+1,3,7,21,45))</f>
        <v/>
      </c>
      <c r="Q279" s="166"/>
      <c r="R279" s="169"/>
    </row>
    <row r="280" customFormat="false" ht="23.85" hidden="false" customHeight="false" outlineLevel="0" collapsed="false">
      <c r="A280" s="23" t="n">
        <v>279</v>
      </c>
      <c r="B280" s="23" t="s">
        <v>68</v>
      </c>
      <c r="C280" s="37" t="s">
        <v>35</v>
      </c>
      <c r="D280" s="104" t="s">
        <v>358</v>
      </c>
      <c r="E280" s="104" t="s">
        <v>362</v>
      </c>
      <c r="F280" s="23" t="n">
        <v>449</v>
      </c>
      <c r="G280" s="161" t="s">
        <v>1211</v>
      </c>
      <c r="H280" s="170" t="s">
        <v>9</v>
      </c>
      <c r="I280" s="171" t="s">
        <v>653</v>
      </c>
      <c r="J280" s="172" t="s">
        <v>654</v>
      </c>
      <c r="K280" s="23"/>
      <c r="L280" s="165" t="s">
        <v>1212</v>
      </c>
      <c r="M280" s="166" t="s">
        <v>656</v>
      </c>
      <c r="N280" s="167"/>
      <c r="O280" s="166" t="n">
        <v>0</v>
      </c>
      <c r="P280" s="168" t="str">
        <f aca="false">IF(N280="","",N280+CHOOSE(MIN(O280,3)+1,3,7,21,45))</f>
        <v/>
      </c>
      <c r="Q280" s="166"/>
      <c r="R280" s="169"/>
    </row>
    <row r="281" customFormat="false" ht="23.85" hidden="false" customHeight="false" outlineLevel="0" collapsed="false">
      <c r="A281" s="23" t="n">
        <v>280</v>
      </c>
      <c r="B281" s="23" t="s">
        <v>68</v>
      </c>
      <c r="C281" s="37" t="s">
        <v>35</v>
      </c>
      <c r="D281" s="104" t="s">
        <v>358</v>
      </c>
      <c r="E281" s="104" t="s">
        <v>362</v>
      </c>
      <c r="F281" s="23" t="n">
        <v>297</v>
      </c>
      <c r="G281" s="161" t="s">
        <v>1213</v>
      </c>
      <c r="H281" s="175" t="s">
        <v>11</v>
      </c>
      <c r="I281" s="163" t="s">
        <v>13</v>
      </c>
      <c r="J281" s="164" t="s">
        <v>649</v>
      </c>
      <c r="K281" s="23"/>
      <c r="L281" s="165" t="s">
        <v>1214</v>
      </c>
      <c r="M281" s="166" t="s">
        <v>656</v>
      </c>
      <c r="N281" s="167"/>
      <c r="O281" s="166" t="n">
        <v>0</v>
      </c>
      <c r="P281" s="168" t="str">
        <f aca="false">IF(N281="","",N281+CHOOSE(MIN(O281,3)+1,3,7,21,45))</f>
        <v/>
      </c>
      <c r="Q281" s="166"/>
      <c r="R281" s="169"/>
    </row>
    <row r="282" customFormat="false" ht="15" hidden="false" customHeight="false" outlineLevel="0" collapsed="false">
      <c r="A282" s="23" t="n">
        <v>281</v>
      </c>
      <c r="B282" s="23" t="s">
        <v>38</v>
      </c>
      <c r="C282" s="38" t="s">
        <v>37</v>
      </c>
      <c r="D282" s="109" t="s">
        <v>366</v>
      </c>
      <c r="E282" s="109" t="s">
        <v>367</v>
      </c>
      <c r="F282" s="23" t="n">
        <v>703</v>
      </c>
      <c r="G282" s="161" t="s">
        <v>1215</v>
      </c>
      <c r="H282" s="162" t="s">
        <v>7</v>
      </c>
      <c r="I282" s="173" t="s">
        <v>668</v>
      </c>
      <c r="J282" s="174" t="s">
        <v>669</v>
      </c>
      <c r="K282" s="23"/>
      <c r="L282" s="165" t="s">
        <v>1216</v>
      </c>
      <c r="M282" s="166" t="s">
        <v>656</v>
      </c>
      <c r="N282" s="167"/>
      <c r="O282" s="166" t="n">
        <v>0</v>
      </c>
      <c r="P282" s="168" t="str">
        <f aca="false">IF(N282="","",N282+CHOOSE(MIN(O282,3)+1,3,7,21,45))</f>
        <v/>
      </c>
      <c r="Q282" s="166"/>
      <c r="R282" s="169"/>
    </row>
    <row r="283" customFormat="false" ht="15" hidden="false" customHeight="false" outlineLevel="0" collapsed="false">
      <c r="A283" s="23" t="n">
        <v>282</v>
      </c>
      <c r="B283" s="23" t="s">
        <v>38</v>
      </c>
      <c r="C283" s="38" t="s">
        <v>37</v>
      </c>
      <c r="D283" s="109" t="s">
        <v>366</v>
      </c>
      <c r="E283" s="109" t="s">
        <v>367</v>
      </c>
      <c r="F283" s="23" t="n">
        <v>1046</v>
      </c>
      <c r="G283" s="161" t="s">
        <v>1217</v>
      </c>
      <c r="H283" s="162" t="s">
        <v>7</v>
      </c>
      <c r="I283" s="173" t="s">
        <v>668</v>
      </c>
      <c r="J283" s="174" t="s">
        <v>669</v>
      </c>
      <c r="K283" s="23"/>
      <c r="L283" s="165" t="s">
        <v>1218</v>
      </c>
      <c r="M283" s="166" t="s">
        <v>656</v>
      </c>
      <c r="N283" s="167"/>
      <c r="O283" s="166" t="n">
        <v>0</v>
      </c>
      <c r="P283" s="168" t="str">
        <f aca="false">IF(N283="","",N283+CHOOSE(MIN(O283,3)+1,3,7,21,45))</f>
        <v/>
      </c>
      <c r="Q283" s="166"/>
      <c r="R283" s="169"/>
    </row>
    <row r="284" customFormat="false" ht="15" hidden="false" customHeight="false" outlineLevel="0" collapsed="false">
      <c r="A284" s="23" t="n">
        <v>283</v>
      </c>
      <c r="B284" s="23" t="s">
        <v>38</v>
      </c>
      <c r="C284" s="38" t="s">
        <v>37</v>
      </c>
      <c r="D284" s="109" t="s">
        <v>366</v>
      </c>
      <c r="E284" s="109" t="s">
        <v>367</v>
      </c>
      <c r="F284" s="23" t="n">
        <v>215</v>
      </c>
      <c r="G284" s="161" t="s">
        <v>1219</v>
      </c>
      <c r="H284" s="170" t="s">
        <v>9</v>
      </c>
      <c r="I284" s="173" t="s">
        <v>668</v>
      </c>
      <c r="J284" s="174" t="s">
        <v>669</v>
      </c>
      <c r="K284" s="23"/>
      <c r="L284" s="165" t="s">
        <v>1220</v>
      </c>
      <c r="M284" s="166" t="s">
        <v>656</v>
      </c>
      <c r="N284" s="167"/>
      <c r="O284" s="166" t="n">
        <v>0</v>
      </c>
      <c r="P284" s="168" t="str">
        <f aca="false">IF(N284="","",N284+CHOOSE(MIN(O284,3)+1,3,7,21,45))</f>
        <v/>
      </c>
      <c r="Q284" s="166"/>
      <c r="R284" s="169"/>
    </row>
    <row r="285" customFormat="false" ht="15" hidden="false" customHeight="false" outlineLevel="0" collapsed="false">
      <c r="A285" s="23" t="n">
        <v>284</v>
      </c>
      <c r="B285" s="23" t="s">
        <v>38</v>
      </c>
      <c r="C285" s="38" t="s">
        <v>37</v>
      </c>
      <c r="D285" s="109" t="s">
        <v>366</v>
      </c>
      <c r="E285" s="109" t="s">
        <v>367</v>
      </c>
      <c r="F285" s="23" t="n">
        <v>347</v>
      </c>
      <c r="G285" s="161" t="s">
        <v>1221</v>
      </c>
      <c r="H285" s="170" t="s">
        <v>9</v>
      </c>
      <c r="I285" s="163" t="s">
        <v>13</v>
      </c>
      <c r="J285" s="164" t="s">
        <v>649</v>
      </c>
      <c r="K285" s="23"/>
      <c r="L285" s="165" t="s">
        <v>1222</v>
      </c>
      <c r="M285" s="166" t="s">
        <v>656</v>
      </c>
      <c r="N285" s="167"/>
      <c r="O285" s="166" t="n">
        <v>0</v>
      </c>
      <c r="P285" s="168" t="str">
        <f aca="false">IF(N285="","",N285+CHOOSE(MIN(O285,3)+1,3,7,21,45))</f>
        <v/>
      </c>
      <c r="Q285" s="166"/>
      <c r="R285" s="169"/>
    </row>
    <row r="286" customFormat="false" ht="15" hidden="false" customHeight="false" outlineLevel="0" collapsed="false">
      <c r="A286" s="23" t="n">
        <v>285</v>
      </c>
      <c r="B286" s="23" t="s">
        <v>38</v>
      </c>
      <c r="C286" s="38" t="s">
        <v>37</v>
      </c>
      <c r="D286" s="109" t="s">
        <v>366</v>
      </c>
      <c r="E286" s="109" t="s">
        <v>367</v>
      </c>
      <c r="F286" s="23" t="n">
        <v>973</v>
      </c>
      <c r="G286" s="161" t="s">
        <v>1223</v>
      </c>
      <c r="H286" s="170" t="s">
        <v>9</v>
      </c>
      <c r="I286" s="173" t="s">
        <v>668</v>
      </c>
      <c r="J286" s="174" t="s">
        <v>669</v>
      </c>
      <c r="K286" s="23"/>
      <c r="L286" s="165" t="s">
        <v>1224</v>
      </c>
      <c r="M286" s="166" t="s">
        <v>656</v>
      </c>
      <c r="N286" s="167"/>
      <c r="O286" s="166" t="n">
        <v>0</v>
      </c>
      <c r="P286" s="168" t="str">
        <f aca="false">IF(N286="","",N286+CHOOSE(MIN(O286,3)+1,3,7,21,45))</f>
        <v/>
      </c>
      <c r="Q286" s="166"/>
      <c r="R286" s="169"/>
    </row>
    <row r="287" customFormat="false" ht="15" hidden="false" customHeight="false" outlineLevel="0" collapsed="false">
      <c r="A287" s="23" t="n">
        <v>286</v>
      </c>
      <c r="B287" s="23" t="s">
        <v>38</v>
      </c>
      <c r="C287" s="38" t="s">
        <v>37</v>
      </c>
      <c r="D287" s="109" t="s">
        <v>366</v>
      </c>
      <c r="E287" s="109" t="s">
        <v>367</v>
      </c>
      <c r="F287" s="23" t="n">
        <v>692</v>
      </c>
      <c r="G287" s="161" t="s">
        <v>1225</v>
      </c>
      <c r="H287" s="170" t="s">
        <v>9</v>
      </c>
      <c r="I287" s="171" t="s">
        <v>653</v>
      </c>
      <c r="J287" s="172" t="s">
        <v>654</v>
      </c>
      <c r="K287" s="23"/>
      <c r="L287" s="165" t="s">
        <v>1226</v>
      </c>
      <c r="M287" s="166" t="s">
        <v>656</v>
      </c>
      <c r="N287" s="167"/>
      <c r="O287" s="166" t="n">
        <v>0</v>
      </c>
      <c r="P287" s="168" t="str">
        <f aca="false">IF(N287="","",N287+CHOOSE(MIN(O287,3)+1,3,7,21,45))</f>
        <v/>
      </c>
      <c r="Q287" s="166"/>
      <c r="R287" s="169"/>
    </row>
    <row r="288" customFormat="false" ht="15" hidden="false" customHeight="false" outlineLevel="0" collapsed="false">
      <c r="A288" s="23" t="n">
        <v>287</v>
      </c>
      <c r="B288" s="23" t="s">
        <v>38</v>
      </c>
      <c r="C288" s="38" t="s">
        <v>37</v>
      </c>
      <c r="D288" s="109" t="s">
        <v>366</v>
      </c>
      <c r="E288" s="109" t="s">
        <v>371</v>
      </c>
      <c r="F288" s="23" t="n">
        <v>373</v>
      </c>
      <c r="G288" s="161" t="s">
        <v>1227</v>
      </c>
      <c r="H288" s="170" t="s">
        <v>9</v>
      </c>
      <c r="I288" s="171" t="s">
        <v>653</v>
      </c>
      <c r="J288" s="172" t="s">
        <v>654</v>
      </c>
      <c r="K288" s="23"/>
      <c r="L288" s="165" t="s">
        <v>1228</v>
      </c>
      <c r="M288" s="166" t="s">
        <v>656</v>
      </c>
      <c r="N288" s="167"/>
      <c r="O288" s="166" t="n">
        <v>0</v>
      </c>
      <c r="P288" s="168" t="str">
        <f aca="false">IF(N288="","",N288+CHOOSE(MIN(O288,3)+1,3,7,21,45))</f>
        <v/>
      </c>
      <c r="Q288" s="166"/>
      <c r="R288" s="169"/>
    </row>
    <row r="289" customFormat="false" ht="15" hidden="false" customHeight="false" outlineLevel="0" collapsed="false">
      <c r="A289" s="23" t="n">
        <v>288</v>
      </c>
      <c r="B289" s="23" t="s">
        <v>38</v>
      </c>
      <c r="C289" s="38" t="s">
        <v>37</v>
      </c>
      <c r="D289" s="109" t="s">
        <v>366</v>
      </c>
      <c r="E289" s="109" t="s">
        <v>371</v>
      </c>
      <c r="F289" s="23" t="n">
        <v>23</v>
      </c>
      <c r="G289" s="161" t="s">
        <v>1229</v>
      </c>
      <c r="H289" s="175" t="s">
        <v>11</v>
      </c>
      <c r="I289" s="163" t="s">
        <v>13</v>
      </c>
      <c r="J289" s="164" t="s">
        <v>649</v>
      </c>
      <c r="K289" s="23"/>
      <c r="L289" s="165" t="s">
        <v>1230</v>
      </c>
      <c r="M289" s="166" t="s">
        <v>656</v>
      </c>
      <c r="N289" s="167"/>
      <c r="O289" s="166" t="n">
        <v>0</v>
      </c>
      <c r="P289" s="168" t="str">
        <f aca="false">IF(N289="","",N289+CHOOSE(MIN(O289,3)+1,3,7,21,45))</f>
        <v/>
      </c>
      <c r="Q289" s="166"/>
      <c r="R289" s="169"/>
    </row>
    <row r="290" customFormat="false" ht="15" hidden="false" customHeight="false" outlineLevel="0" collapsed="false">
      <c r="A290" s="23" t="n">
        <v>289</v>
      </c>
      <c r="B290" s="23" t="s">
        <v>38</v>
      </c>
      <c r="C290" s="38" t="s">
        <v>37</v>
      </c>
      <c r="D290" s="109" t="s">
        <v>366</v>
      </c>
      <c r="E290" s="109" t="s">
        <v>371</v>
      </c>
      <c r="F290" s="23" t="n">
        <v>632</v>
      </c>
      <c r="G290" s="161" t="s">
        <v>1231</v>
      </c>
      <c r="H290" s="175" t="s">
        <v>11</v>
      </c>
      <c r="I290" s="171" t="s">
        <v>653</v>
      </c>
      <c r="J290" s="172" t="s">
        <v>654</v>
      </c>
      <c r="K290" s="23"/>
      <c r="L290" s="165" t="s">
        <v>1232</v>
      </c>
      <c r="M290" s="166" t="s">
        <v>656</v>
      </c>
      <c r="N290" s="167"/>
      <c r="O290" s="166" t="n">
        <v>0</v>
      </c>
      <c r="P290" s="168" t="str">
        <f aca="false">IF(N290="","",N290+CHOOSE(MIN(O290,3)+1,3,7,21,45))</f>
        <v/>
      </c>
      <c r="Q290" s="166"/>
      <c r="R290" s="169"/>
    </row>
    <row r="291" customFormat="false" ht="15" hidden="false" customHeight="false" outlineLevel="0" collapsed="false">
      <c r="A291" s="23" t="n">
        <v>290</v>
      </c>
      <c r="B291" s="23" t="s">
        <v>38</v>
      </c>
      <c r="C291" s="38" t="s">
        <v>37</v>
      </c>
      <c r="D291" s="109" t="s">
        <v>366</v>
      </c>
      <c r="E291" s="109" t="s">
        <v>375</v>
      </c>
      <c r="F291" s="23" t="n">
        <v>295</v>
      </c>
      <c r="G291" s="161" t="s">
        <v>1233</v>
      </c>
      <c r="H291" s="175" t="s">
        <v>11</v>
      </c>
      <c r="I291" s="163" t="s">
        <v>13</v>
      </c>
      <c r="J291" s="164" t="s">
        <v>649</v>
      </c>
      <c r="K291" s="23"/>
      <c r="L291" s="165" t="s">
        <v>1234</v>
      </c>
      <c r="M291" s="166" t="s">
        <v>656</v>
      </c>
      <c r="N291" s="167"/>
      <c r="O291" s="166" t="n">
        <v>0</v>
      </c>
      <c r="P291" s="168" t="str">
        <f aca="false">IF(N291="","",N291+CHOOSE(MIN(O291,3)+1,3,7,21,45))</f>
        <v/>
      </c>
      <c r="Q291" s="166"/>
      <c r="R291" s="169"/>
    </row>
    <row r="292" customFormat="false" ht="15" hidden="false" customHeight="false" outlineLevel="0" collapsed="false">
      <c r="A292" s="23" t="n">
        <v>291</v>
      </c>
      <c r="B292" s="23" t="s">
        <v>38</v>
      </c>
      <c r="C292" s="38" t="s">
        <v>37</v>
      </c>
      <c r="D292" s="109" t="s">
        <v>366</v>
      </c>
      <c r="E292" s="109" t="s">
        <v>375</v>
      </c>
      <c r="F292" s="23" t="n">
        <v>480</v>
      </c>
      <c r="G292" s="161" t="s">
        <v>1235</v>
      </c>
      <c r="H292" s="175" t="s">
        <v>11</v>
      </c>
      <c r="I292" s="171" t="s">
        <v>653</v>
      </c>
      <c r="J292" s="172" t="s">
        <v>654</v>
      </c>
      <c r="K292" s="23"/>
      <c r="L292" s="165" t="s">
        <v>1236</v>
      </c>
      <c r="M292" s="166" t="s">
        <v>656</v>
      </c>
      <c r="N292" s="167"/>
      <c r="O292" s="166" t="n">
        <v>0</v>
      </c>
      <c r="P292" s="168" t="str">
        <f aca="false">IF(N292="","",N292+CHOOSE(MIN(O292,3)+1,3,7,21,45))</f>
        <v/>
      </c>
      <c r="Q292" s="166"/>
      <c r="R292" s="169"/>
    </row>
    <row r="293" customFormat="false" ht="15" hidden="false" customHeight="false" outlineLevel="0" collapsed="false">
      <c r="A293" s="23" t="n">
        <v>292</v>
      </c>
      <c r="B293" s="23" t="s">
        <v>38</v>
      </c>
      <c r="C293" s="38" t="s">
        <v>37</v>
      </c>
      <c r="D293" s="109" t="s">
        <v>366</v>
      </c>
      <c r="E293" s="109" t="s">
        <v>375</v>
      </c>
      <c r="F293" s="23" t="n">
        <v>502</v>
      </c>
      <c r="G293" s="161" t="s">
        <v>1237</v>
      </c>
      <c r="H293" s="175" t="s">
        <v>11</v>
      </c>
      <c r="I293" s="171" t="s">
        <v>653</v>
      </c>
      <c r="J293" s="172" t="s">
        <v>654</v>
      </c>
      <c r="K293" s="23"/>
      <c r="L293" s="165" t="s">
        <v>1238</v>
      </c>
      <c r="M293" s="166" t="s">
        <v>656</v>
      </c>
      <c r="N293" s="167"/>
      <c r="O293" s="166" t="n">
        <v>0</v>
      </c>
      <c r="P293" s="168" t="str">
        <f aca="false">IF(N293="","",N293+CHOOSE(MIN(O293,3)+1,3,7,21,45))</f>
        <v/>
      </c>
      <c r="Q293" s="166"/>
      <c r="R293" s="169"/>
    </row>
    <row r="294" customFormat="false" ht="15" hidden="false" customHeight="false" outlineLevel="0" collapsed="false">
      <c r="A294" s="23" t="n">
        <v>293</v>
      </c>
      <c r="B294" s="23" t="s">
        <v>38</v>
      </c>
      <c r="C294" s="38" t="s">
        <v>37</v>
      </c>
      <c r="D294" s="109" t="s">
        <v>366</v>
      </c>
      <c r="E294" s="109" t="s">
        <v>379</v>
      </c>
      <c r="F294" s="23" t="n">
        <v>621</v>
      </c>
      <c r="G294" s="161" t="s">
        <v>1239</v>
      </c>
      <c r="H294" s="170" t="s">
        <v>9</v>
      </c>
      <c r="I294" s="173" t="s">
        <v>668</v>
      </c>
      <c r="J294" s="174" t="s">
        <v>669</v>
      </c>
      <c r="K294" s="23"/>
      <c r="L294" s="165" t="s">
        <v>1240</v>
      </c>
      <c r="M294" s="166" t="s">
        <v>656</v>
      </c>
      <c r="N294" s="167"/>
      <c r="O294" s="166" t="n">
        <v>0</v>
      </c>
      <c r="P294" s="168" t="str">
        <f aca="false">IF(N294="","",N294+CHOOSE(MIN(O294,3)+1,3,7,21,45))</f>
        <v/>
      </c>
      <c r="Q294" s="166"/>
      <c r="R294" s="169"/>
    </row>
    <row r="295" customFormat="false" ht="15" hidden="false" customHeight="false" outlineLevel="0" collapsed="false">
      <c r="A295" s="23" t="n">
        <v>294</v>
      </c>
      <c r="B295" s="23" t="s">
        <v>38</v>
      </c>
      <c r="C295" s="38" t="s">
        <v>37</v>
      </c>
      <c r="D295" s="109" t="s">
        <v>366</v>
      </c>
      <c r="E295" s="109" t="s">
        <v>379</v>
      </c>
      <c r="F295" s="23" t="n">
        <v>767</v>
      </c>
      <c r="G295" s="161" t="s">
        <v>1241</v>
      </c>
      <c r="H295" s="170" t="s">
        <v>9</v>
      </c>
      <c r="I295" s="176" t="s">
        <v>15</v>
      </c>
      <c r="J295" s="174" t="s">
        <v>669</v>
      </c>
      <c r="K295" s="23"/>
      <c r="L295" s="165" t="s">
        <v>1242</v>
      </c>
      <c r="M295" s="166" t="s">
        <v>656</v>
      </c>
      <c r="N295" s="167"/>
      <c r="O295" s="166" t="n">
        <v>0</v>
      </c>
      <c r="P295" s="168" t="str">
        <f aca="false">IF(N295="","",N295+CHOOSE(MIN(O295,3)+1,3,7,21,45))</f>
        <v/>
      </c>
      <c r="Q295" s="166"/>
      <c r="R295" s="169"/>
    </row>
    <row r="296" customFormat="false" ht="15" hidden="false" customHeight="false" outlineLevel="0" collapsed="false">
      <c r="A296" s="23" t="n">
        <v>295</v>
      </c>
      <c r="B296" s="23" t="s">
        <v>38</v>
      </c>
      <c r="C296" s="38" t="s">
        <v>37</v>
      </c>
      <c r="D296" s="109" t="s">
        <v>366</v>
      </c>
      <c r="E296" s="109" t="s">
        <v>379</v>
      </c>
      <c r="F296" s="23" t="n">
        <v>1642</v>
      </c>
      <c r="G296" s="161" t="s">
        <v>1243</v>
      </c>
      <c r="H296" s="170" t="s">
        <v>9</v>
      </c>
      <c r="I296" s="171" t="s">
        <v>653</v>
      </c>
      <c r="J296" s="172" t="s">
        <v>654</v>
      </c>
      <c r="K296" s="23"/>
      <c r="L296" s="165" t="s">
        <v>1244</v>
      </c>
      <c r="M296" s="166" t="s">
        <v>656</v>
      </c>
      <c r="N296" s="167"/>
      <c r="O296" s="166" t="n">
        <v>0</v>
      </c>
      <c r="P296" s="168" t="str">
        <f aca="false">IF(N296="","",N296+CHOOSE(MIN(O296,3)+1,3,7,21,45))</f>
        <v/>
      </c>
      <c r="Q296" s="166"/>
      <c r="R296" s="169"/>
    </row>
    <row r="297" customFormat="false" ht="15" hidden="false" customHeight="false" outlineLevel="0" collapsed="false">
      <c r="A297" s="23" t="n">
        <v>296</v>
      </c>
      <c r="B297" s="23" t="s">
        <v>38</v>
      </c>
      <c r="C297" s="38" t="s">
        <v>37</v>
      </c>
      <c r="D297" s="109" t="s">
        <v>366</v>
      </c>
      <c r="E297" s="109" t="s">
        <v>379</v>
      </c>
      <c r="F297" s="23" t="n">
        <v>1834</v>
      </c>
      <c r="G297" s="161" t="s">
        <v>1245</v>
      </c>
      <c r="H297" s="170" t="s">
        <v>9</v>
      </c>
      <c r="I297" s="171" t="s">
        <v>653</v>
      </c>
      <c r="J297" s="172" t="s">
        <v>654</v>
      </c>
      <c r="K297" s="23"/>
      <c r="L297" s="165" t="s">
        <v>1246</v>
      </c>
      <c r="M297" s="166" t="s">
        <v>656</v>
      </c>
      <c r="N297" s="167"/>
      <c r="O297" s="166" t="n">
        <v>0</v>
      </c>
      <c r="P297" s="168" t="str">
        <f aca="false">IF(N297="","",N297+CHOOSE(MIN(O297,3)+1,3,7,21,45))</f>
        <v/>
      </c>
      <c r="Q297" s="166"/>
      <c r="R297" s="169"/>
    </row>
    <row r="298" customFormat="false" ht="15" hidden="false" customHeight="false" outlineLevel="0" collapsed="false">
      <c r="A298" s="23" t="n">
        <v>297</v>
      </c>
      <c r="B298" s="23" t="s">
        <v>38</v>
      </c>
      <c r="C298" s="38" t="s">
        <v>37</v>
      </c>
      <c r="D298" s="109" t="s">
        <v>366</v>
      </c>
      <c r="E298" s="109" t="s">
        <v>379</v>
      </c>
      <c r="F298" s="23" t="n">
        <v>2542</v>
      </c>
      <c r="G298" s="161" t="s">
        <v>1247</v>
      </c>
      <c r="H298" s="170" t="s">
        <v>9</v>
      </c>
      <c r="I298" s="171" t="s">
        <v>653</v>
      </c>
      <c r="J298" s="172" t="s">
        <v>654</v>
      </c>
      <c r="K298" s="23"/>
      <c r="L298" s="165" t="s">
        <v>1248</v>
      </c>
      <c r="M298" s="166" t="s">
        <v>656</v>
      </c>
      <c r="N298" s="167"/>
      <c r="O298" s="166" t="n">
        <v>0</v>
      </c>
      <c r="P298" s="168" t="str">
        <f aca="false">IF(N298="","",N298+CHOOSE(MIN(O298,3)+1,3,7,21,45))</f>
        <v/>
      </c>
      <c r="Q298" s="166"/>
      <c r="R298" s="169"/>
    </row>
    <row r="299" customFormat="false" ht="15" hidden="false" customHeight="false" outlineLevel="0" collapsed="false">
      <c r="A299" s="23" t="n">
        <v>298</v>
      </c>
      <c r="B299" s="23" t="s">
        <v>38</v>
      </c>
      <c r="C299" s="38" t="s">
        <v>37</v>
      </c>
      <c r="D299" s="109" t="s">
        <v>366</v>
      </c>
      <c r="E299" s="109" t="s">
        <v>379</v>
      </c>
      <c r="F299" s="23" t="n">
        <v>871</v>
      </c>
      <c r="G299" s="161" t="s">
        <v>1249</v>
      </c>
      <c r="H299" s="175" t="s">
        <v>11</v>
      </c>
      <c r="I299" s="171" t="s">
        <v>653</v>
      </c>
      <c r="J299" s="172" t="s">
        <v>654</v>
      </c>
      <c r="K299" s="23"/>
      <c r="L299" s="165" t="s">
        <v>1250</v>
      </c>
      <c r="M299" s="166" t="s">
        <v>656</v>
      </c>
      <c r="N299" s="167"/>
      <c r="O299" s="166" t="n">
        <v>0</v>
      </c>
      <c r="P299" s="168" t="str">
        <f aca="false">IF(N299="","",N299+CHOOSE(MIN(O299,3)+1,3,7,21,45))</f>
        <v/>
      </c>
      <c r="Q299" s="166"/>
      <c r="R299" s="169"/>
    </row>
    <row r="300" customFormat="false" ht="15" hidden="false" customHeight="false" outlineLevel="0" collapsed="false">
      <c r="A300" s="23" t="n">
        <v>299</v>
      </c>
      <c r="B300" s="23" t="s">
        <v>38</v>
      </c>
      <c r="C300" s="38" t="s">
        <v>37</v>
      </c>
      <c r="D300" s="109" t="s">
        <v>366</v>
      </c>
      <c r="E300" s="109" t="s">
        <v>379</v>
      </c>
      <c r="F300" s="23" t="n">
        <v>857</v>
      </c>
      <c r="G300" s="161" t="s">
        <v>1251</v>
      </c>
      <c r="H300" s="175" t="s">
        <v>11</v>
      </c>
      <c r="I300" s="171" t="s">
        <v>653</v>
      </c>
      <c r="J300" s="172" t="s">
        <v>654</v>
      </c>
      <c r="K300" s="23"/>
      <c r="L300" s="165" t="s">
        <v>1252</v>
      </c>
      <c r="M300" s="166" t="s">
        <v>656</v>
      </c>
      <c r="N300" s="167"/>
      <c r="O300" s="166" t="n">
        <v>0</v>
      </c>
      <c r="P300" s="168" t="str">
        <f aca="false">IF(N300="","",N300+CHOOSE(MIN(O300,3)+1,3,7,21,45))</f>
        <v/>
      </c>
      <c r="Q300" s="166"/>
      <c r="R300" s="169"/>
    </row>
    <row r="301" customFormat="false" ht="23.85" hidden="false" customHeight="false" outlineLevel="0" collapsed="false">
      <c r="A301" s="23" t="n">
        <v>300</v>
      </c>
      <c r="B301" s="23" t="s">
        <v>40</v>
      </c>
      <c r="C301" s="39" t="s">
        <v>39</v>
      </c>
      <c r="D301" s="114" t="s">
        <v>383</v>
      </c>
      <c r="E301" s="114" t="s">
        <v>384</v>
      </c>
      <c r="F301" s="23" t="n">
        <v>509</v>
      </c>
      <c r="G301" s="161" t="s">
        <v>1253</v>
      </c>
      <c r="H301" s="162" t="s">
        <v>7</v>
      </c>
      <c r="I301" s="171" t="s">
        <v>653</v>
      </c>
      <c r="J301" s="172" t="s">
        <v>654</v>
      </c>
      <c r="K301" s="23"/>
      <c r="L301" s="165" t="s">
        <v>1254</v>
      </c>
      <c r="M301" s="166" t="s">
        <v>656</v>
      </c>
      <c r="N301" s="167"/>
      <c r="O301" s="166" t="n">
        <v>0</v>
      </c>
      <c r="P301" s="168" t="str">
        <f aca="false">IF(N301="","",N301+CHOOSE(MIN(O301,3)+1,3,7,21,45))</f>
        <v/>
      </c>
      <c r="Q301" s="166"/>
      <c r="R301" s="169"/>
    </row>
    <row r="302" customFormat="false" ht="23.85" hidden="false" customHeight="false" outlineLevel="0" collapsed="false">
      <c r="A302" s="23" t="n">
        <v>301</v>
      </c>
      <c r="B302" s="23" t="s">
        <v>40</v>
      </c>
      <c r="C302" s="39" t="s">
        <v>39</v>
      </c>
      <c r="D302" s="114" t="s">
        <v>383</v>
      </c>
      <c r="E302" s="114" t="s">
        <v>384</v>
      </c>
      <c r="F302" s="23" t="n">
        <v>50</v>
      </c>
      <c r="G302" s="161" t="s">
        <v>1255</v>
      </c>
      <c r="H302" s="170" t="s">
        <v>9</v>
      </c>
      <c r="I302" s="173" t="s">
        <v>668</v>
      </c>
      <c r="J302" s="174" t="s">
        <v>669</v>
      </c>
      <c r="K302" s="23"/>
      <c r="L302" s="165" t="s">
        <v>1256</v>
      </c>
      <c r="M302" s="166" t="s">
        <v>656</v>
      </c>
      <c r="N302" s="167"/>
      <c r="O302" s="166" t="n">
        <v>0</v>
      </c>
      <c r="P302" s="168" t="str">
        <f aca="false">IF(N302="","",N302+CHOOSE(MIN(O302,3)+1,3,7,21,45))</f>
        <v/>
      </c>
      <c r="Q302" s="166"/>
      <c r="R302" s="169"/>
    </row>
    <row r="303" customFormat="false" ht="23.85" hidden="false" customHeight="false" outlineLevel="0" collapsed="false">
      <c r="A303" s="23" t="n">
        <v>302</v>
      </c>
      <c r="B303" s="23" t="s">
        <v>40</v>
      </c>
      <c r="C303" s="39" t="s">
        <v>39</v>
      </c>
      <c r="D303" s="114" t="s">
        <v>383</v>
      </c>
      <c r="E303" s="114" t="s">
        <v>384</v>
      </c>
      <c r="F303" s="23" t="n">
        <v>779</v>
      </c>
      <c r="G303" s="161" t="s">
        <v>1257</v>
      </c>
      <c r="H303" s="170" t="s">
        <v>9</v>
      </c>
      <c r="I303" s="171" t="s">
        <v>653</v>
      </c>
      <c r="J303" s="172" t="s">
        <v>654</v>
      </c>
      <c r="K303" s="23"/>
      <c r="L303" s="165" t="s">
        <v>1258</v>
      </c>
      <c r="M303" s="166" t="s">
        <v>656</v>
      </c>
      <c r="N303" s="167"/>
      <c r="O303" s="166" t="n">
        <v>0</v>
      </c>
      <c r="P303" s="168" t="str">
        <f aca="false">IF(N303="","",N303+CHOOSE(MIN(O303,3)+1,3,7,21,45))</f>
        <v/>
      </c>
      <c r="Q303" s="166"/>
      <c r="R303" s="169"/>
    </row>
    <row r="304" customFormat="false" ht="23.85" hidden="false" customHeight="false" outlineLevel="0" collapsed="false">
      <c r="A304" s="23" t="n">
        <v>303</v>
      </c>
      <c r="B304" s="23" t="s">
        <v>40</v>
      </c>
      <c r="C304" s="39" t="s">
        <v>39</v>
      </c>
      <c r="D304" s="114" t="s">
        <v>383</v>
      </c>
      <c r="E304" s="114" t="s">
        <v>384</v>
      </c>
      <c r="F304" s="23" t="n">
        <v>1823</v>
      </c>
      <c r="G304" s="161" t="s">
        <v>1259</v>
      </c>
      <c r="H304" s="170" t="s">
        <v>9</v>
      </c>
      <c r="I304" s="171" t="s">
        <v>653</v>
      </c>
      <c r="J304" s="172" t="s">
        <v>654</v>
      </c>
      <c r="K304" s="23"/>
      <c r="L304" s="165" t="s">
        <v>1260</v>
      </c>
      <c r="M304" s="166" t="s">
        <v>656</v>
      </c>
      <c r="N304" s="167"/>
      <c r="O304" s="166" t="n">
        <v>0</v>
      </c>
      <c r="P304" s="168" t="str">
        <f aca="false">IF(N304="","",N304+CHOOSE(MIN(O304,3)+1,3,7,21,45))</f>
        <v/>
      </c>
      <c r="Q304" s="166"/>
      <c r="R304" s="169"/>
    </row>
    <row r="305" customFormat="false" ht="23.85" hidden="false" customHeight="false" outlineLevel="0" collapsed="false">
      <c r="A305" s="23" t="n">
        <v>304</v>
      </c>
      <c r="B305" s="23" t="s">
        <v>40</v>
      </c>
      <c r="C305" s="39" t="s">
        <v>39</v>
      </c>
      <c r="D305" s="114" t="s">
        <v>383</v>
      </c>
      <c r="E305" s="114" t="s">
        <v>384</v>
      </c>
      <c r="F305" s="23" t="n">
        <v>241</v>
      </c>
      <c r="G305" s="161" t="s">
        <v>1261</v>
      </c>
      <c r="H305" s="170" t="s">
        <v>9</v>
      </c>
      <c r="I305" s="171" t="s">
        <v>653</v>
      </c>
      <c r="J305" s="172" t="s">
        <v>654</v>
      </c>
      <c r="K305" s="23"/>
      <c r="L305" s="165" t="s">
        <v>1262</v>
      </c>
      <c r="M305" s="166" t="s">
        <v>656</v>
      </c>
      <c r="N305" s="167"/>
      <c r="O305" s="166" t="n">
        <v>0</v>
      </c>
      <c r="P305" s="168" t="str">
        <f aca="false">IF(N305="","",N305+CHOOSE(MIN(O305,3)+1,3,7,21,45))</f>
        <v/>
      </c>
      <c r="Q305" s="166"/>
      <c r="R305" s="169"/>
    </row>
    <row r="306" customFormat="false" ht="23.85" hidden="false" customHeight="false" outlineLevel="0" collapsed="false">
      <c r="A306" s="23" t="n">
        <v>305</v>
      </c>
      <c r="B306" s="23" t="s">
        <v>40</v>
      </c>
      <c r="C306" s="39" t="s">
        <v>39</v>
      </c>
      <c r="D306" s="114" t="s">
        <v>388</v>
      </c>
      <c r="E306" s="114" t="s">
        <v>389</v>
      </c>
      <c r="F306" s="23" t="n">
        <v>78</v>
      </c>
      <c r="G306" s="161" t="s">
        <v>1263</v>
      </c>
      <c r="H306" s="170" t="s">
        <v>9</v>
      </c>
      <c r="I306" s="173" t="s">
        <v>668</v>
      </c>
      <c r="J306" s="174" t="s">
        <v>669</v>
      </c>
      <c r="K306" s="23"/>
      <c r="L306" s="165" t="s">
        <v>1264</v>
      </c>
      <c r="M306" s="166" t="s">
        <v>656</v>
      </c>
      <c r="N306" s="167"/>
      <c r="O306" s="166" t="n">
        <v>0</v>
      </c>
      <c r="P306" s="168" t="str">
        <f aca="false">IF(N306="","",N306+CHOOSE(MIN(O306,3)+1,3,7,21,45))</f>
        <v/>
      </c>
      <c r="Q306" s="166"/>
      <c r="R306" s="169"/>
    </row>
    <row r="307" customFormat="false" ht="23.85" hidden="false" customHeight="false" outlineLevel="0" collapsed="false">
      <c r="A307" s="23" t="n">
        <v>306</v>
      </c>
      <c r="B307" s="23" t="s">
        <v>40</v>
      </c>
      <c r="C307" s="39" t="s">
        <v>39</v>
      </c>
      <c r="D307" s="114" t="s">
        <v>388</v>
      </c>
      <c r="E307" s="114" t="s">
        <v>389</v>
      </c>
      <c r="F307" s="23" t="n">
        <v>90</v>
      </c>
      <c r="G307" s="161" t="s">
        <v>1265</v>
      </c>
      <c r="H307" s="170" t="s">
        <v>9</v>
      </c>
      <c r="I307" s="173" t="s">
        <v>668</v>
      </c>
      <c r="J307" s="174" t="s">
        <v>669</v>
      </c>
      <c r="K307" s="23"/>
      <c r="L307" s="165" t="s">
        <v>1266</v>
      </c>
      <c r="M307" s="166" t="s">
        <v>656</v>
      </c>
      <c r="N307" s="167"/>
      <c r="O307" s="166" t="n">
        <v>0</v>
      </c>
      <c r="P307" s="168" t="str">
        <f aca="false">IF(N307="","",N307+CHOOSE(MIN(O307,3)+1,3,7,21,45))</f>
        <v/>
      </c>
      <c r="Q307" s="166"/>
      <c r="R307" s="169"/>
    </row>
    <row r="308" customFormat="false" ht="23.85" hidden="false" customHeight="false" outlineLevel="0" collapsed="false">
      <c r="A308" s="23" t="n">
        <v>307</v>
      </c>
      <c r="B308" s="23" t="s">
        <v>40</v>
      </c>
      <c r="C308" s="39" t="s">
        <v>39</v>
      </c>
      <c r="D308" s="114" t="s">
        <v>388</v>
      </c>
      <c r="E308" s="114" t="s">
        <v>389</v>
      </c>
      <c r="F308" s="23" t="n">
        <v>784</v>
      </c>
      <c r="G308" s="161" t="s">
        <v>1267</v>
      </c>
      <c r="H308" s="170" t="s">
        <v>9</v>
      </c>
      <c r="I308" s="171" t="s">
        <v>653</v>
      </c>
      <c r="J308" s="172" t="s">
        <v>654</v>
      </c>
      <c r="K308" s="23"/>
      <c r="L308" s="165" t="s">
        <v>1268</v>
      </c>
      <c r="M308" s="166" t="s">
        <v>656</v>
      </c>
      <c r="N308" s="167"/>
      <c r="O308" s="166" t="n">
        <v>0</v>
      </c>
      <c r="P308" s="168" t="str">
        <f aca="false">IF(N308="","",N308+CHOOSE(MIN(O308,3)+1,3,7,21,45))</f>
        <v/>
      </c>
      <c r="Q308" s="166"/>
      <c r="R308" s="169"/>
    </row>
    <row r="309" customFormat="false" ht="23.85" hidden="false" customHeight="false" outlineLevel="0" collapsed="false">
      <c r="A309" s="23" t="n">
        <v>308</v>
      </c>
      <c r="B309" s="23" t="s">
        <v>40</v>
      </c>
      <c r="C309" s="39" t="s">
        <v>39</v>
      </c>
      <c r="D309" s="114" t="s">
        <v>388</v>
      </c>
      <c r="E309" s="114" t="s">
        <v>393</v>
      </c>
      <c r="F309" s="23" t="n">
        <v>46</v>
      </c>
      <c r="G309" s="161" t="s">
        <v>393</v>
      </c>
      <c r="H309" s="170" t="s">
        <v>9</v>
      </c>
      <c r="I309" s="173" t="s">
        <v>668</v>
      </c>
      <c r="J309" s="174" t="s">
        <v>669</v>
      </c>
      <c r="K309" s="23"/>
      <c r="L309" s="165" t="s">
        <v>1269</v>
      </c>
      <c r="M309" s="166" t="s">
        <v>656</v>
      </c>
      <c r="N309" s="167"/>
      <c r="O309" s="166" t="n">
        <v>0</v>
      </c>
      <c r="P309" s="168" t="str">
        <f aca="false">IF(N309="","",N309+CHOOSE(MIN(O309,3)+1,3,7,21,45))</f>
        <v/>
      </c>
      <c r="Q309" s="166"/>
      <c r="R309" s="169"/>
    </row>
    <row r="310" customFormat="false" ht="23.85" hidden="false" customHeight="false" outlineLevel="0" collapsed="false">
      <c r="A310" s="23" t="n">
        <v>309</v>
      </c>
      <c r="B310" s="23" t="s">
        <v>40</v>
      </c>
      <c r="C310" s="39" t="s">
        <v>39</v>
      </c>
      <c r="D310" s="114" t="s">
        <v>388</v>
      </c>
      <c r="E310" s="114" t="s">
        <v>393</v>
      </c>
      <c r="F310" s="23" t="n">
        <v>47</v>
      </c>
      <c r="G310" s="161" t="s">
        <v>1270</v>
      </c>
      <c r="H310" s="170" t="s">
        <v>9</v>
      </c>
      <c r="I310" s="171" t="s">
        <v>653</v>
      </c>
      <c r="J310" s="172" t="s">
        <v>654</v>
      </c>
      <c r="K310" s="23"/>
      <c r="L310" s="165" t="s">
        <v>1271</v>
      </c>
      <c r="M310" s="166" t="s">
        <v>656</v>
      </c>
      <c r="N310" s="167"/>
      <c r="O310" s="166" t="n">
        <v>0</v>
      </c>
      <c r="P310" s="168" t="str">
        <f aca="false">IF(N310="","",N310+CHOOSE(MIN(O310,3)+1,3,7,21,45))</f>
        <v/>
      </c>
      <c r="Q310" s="166"/>
      <c r="R310" s="169"/>
    </row>
    <row r="311" customFormat="false" ht="23.85" hidden="false" customHeight="false" outlineLevel="0" collapsed="false">
      <c r="A311" s="23" t="n">
        <v>310</v>
      </c>
      <c r="B311" s="23" t="s">
        <v>40</v>
      </c>
      <c r="C311" s="39" t="s">
        <v>39</v>
      </c>
      <c r="D311" s="114" t="s">
        <v>388</v>
      </c>
      <c r="E311" s="114" t="s">
        <v>393</v>
      </c>
      <c r="F311" s="23" t="n">
        <v>60</v>
      </c>
      <c r="G311" s="161" t="s">
        <v>1272</v>
      </c>
      <c r="H311" s="175" t="s">
        <v>11</v>
      </c>
      <c r="I311" s="171" t="s">
        <v>653</v>
      </c>
      <c r="J311" s="172" t="s">
        <v>654</v>
      </c>
      <c r="K311" s="23"/>
      <c r="L311" s="165" t="s">
        <v>1273</v>
      </c>
      <c r="M311" s="166" t="s">
        <v>656</v>
      </c>
      <c r="N311" s="167"/>
      <c r="O311" s="166" t="n">
        <v>0</v>
      </c>
      <c r="P311" s="168" t="str">
        <f aca="false">IF(N311="","",N311+CHOOSE(MIN(O311,3)+1,3,7,21,45))</f>
        <v/>
      </c>
      <c r="Q311" s="166"/>
      <c r="R311" s="169"/>
    </row>
    <row r="312" customFormat="false" ht="23.85" hidden="false" customHeight="false" outlineLevel="0" collapsed="false">
      <c r="A312" s="23" t="n">
        <v>311</v>
      </c>
      <c r="B312" s="23" t="s">
        <v>40</v>
      </c>
      <c r="C312" s="39" t="s">
        <v>39</v>
      </c>
      <c r="D312" s="114" t="s">
        <v>388</v>
      </c>
      <c r="E312" s="114" t="s">
        <v>397</v>
      </c>
      <c r="F312" s="23" t="n">
        <v>77</v>
      </c>
      <c r="G312" s="161" t="s">
        <v>1274</v>
      </c>
      <c r="H312" s="170" t="s">
        <v>9</v>
      </c>
      <c r="I312" s="171" t="s">
        <v>653</v>
      </c>
      <c r="J312" s="172" t="s">
        <v>654</v>
      </c>
      <c r="K312" s="23"/>
      <c r="L312" s="165" t="s">
        <v>1275</v>
      </c>
      <c r="M312" s="166" t="s">
        <v>656</v>
      </c>
      <c r="N312" s="167"/>
      <c r="O312" s="166" t="n">
        <v>0</v>
      </c>
      <c r="P312" s="168" t="str">
        <f aca="false">IF(N312="","",N312+CHOOSE(MIN(O312,3)+1,3,7,21,45))</f>
        <v/>
      </c>
      <c r="Q312" s="166"/>
      <c r="R312" s="169"/>
    </row>
    <row r="313" customFormat="false" ht="23.85" hidden="false" customHeight="false" outlineLevel="0" collapsed="false">
      <c r="A313" s="23" t="n">
        <v>312</v>
      </c>
      <c r="B313" s="23" t="s">
        <v>40</v>
      </c>
      <c r="C313" s="39" t="s">
        <v>39</v>
      </c>
      <c r="D313" s="114" t="s">
        <v>388</v>
      </c>
      <c r="E313" s="114" t="s">
        <v>397</v>
      </c>
      <c r="F313" s="23" t="n">
        <v>39</v>
      </c>
      <c r="G313" s="161" t="s">
        <v>1276</v>
      </c>
      <c r="H313" s="170" t="s">
        <v>9</v>
      </c>
      <c r="I313" s="173" t="s">
        <v>668</v>
      </c>
      <c r="J313" s="174" t="s">
        <v>669</v>
      </c>
      <c r="K313" s="23"/>
      <c r="L313" s="165" t="s">
        <v>1277</v>
      </c>
      <c r="M313" s="166" t="s">
        <v>656</v>
      </c>
      <c r="N313" s="167"/>
      <c r="O313" s="166" t="n">
        <v>0</v>
      </c>
      <c r="P313" s="168" t="str">
        <f aca="false">IF(N313="","",N313+CHOOSE(MIN(O313,3)+1,3,7,21,45))</f>
        <v/>
      </c>
      <c r="Q313" s="166"/>
      <c r="R313" s="169"/>
    </row>
    <row r="314" customFormat="false" ht="23.85" hidden="false" customHeight="false" outlineLevel="0" collapsed="false">
      <c r="A314" s="23" t="n">
        <v>313</v>
      </c>
      <c r="B314" s="23" t="s">
        <v>40</v>
      </c>
      <c r="C314" s="39" t="s">
        <v>39</v>
      </c>
      <c r="D314" s="114" t="s">
        <v>388</v>
      </c>
      <c r="E314" s="114" t="s">
        <v>397</v>
      </c>
      <c r="F314" s="23" t="n">
        <v>40</v>
      </c>
      <c r="G314" s="161" t="s">
        <v>1278</v>
      </c>
      <c r="H314" s="170" t="s">
        <v>9</v>
      </c>
      <c r="I314" s="173" t="s">
        <v>668</v>
      </c>
      <c r="J314" s="174" t="s">
        <v>669</v>
      </c>
      <c r="K314" s="23"/>
      <c r="L314" s="165" t="s">
        <v>1279</v>
      </c>
      <c r="M314" s="166" t="s">
        <v>656</v>
      </c>
      <c r="N314" s="167"/>
      <c r="O314" s="166" t="n">
        <v>0</v>
      </c>
      <c r="P314" s="168" t="str">
        <f aca="false">IF(N314="","",N314+CHOOSE(MIN(O314,3)+1,3,7,21,45))</f>
        <v/>
      </c>
      <c r="Q314" s="166"/>
      <c r="R314" s="169"/>
    </row>
    <row r="315" customFormat="false" ht="23.85" hidden="false" customHeight="false" outlineLevel="0" collapsed="false">
      <c r="A315" s="23" t="n">
        <v>314</v>
      </c>
      <c r="B315" s="23" t="s">
        <v>40</v>
      </c>
      <c r="C315" s="39" t="s">
        <v>39</v>
      </c>
      <c r="D315" s="114" t="s">
        <v>388</v>
      </c>
      <c r="E315" s="114" t="s">
        <v>397</v>
      </c>
      <c r="F315" s="23" t="n">
        <v>216</v>
      </c>
      <c r="G315" s="161" t="s">
        <v>1280</v>
      </c>
      <c r="H315" s="170" t="s">
        <v>9</v>
      </c>
      <c r="I315" s="171" t="s">
        <v>653</v>
      </c>
      <c r="J315" s="172" t="s">
        <v>654</v>
      </c>
      <c r="K315" s="23"/>
      <c r="L315" s="165" t="s">
        <v>1281</v>
      </c>
      <c r="M315" s="166" t="s">
        <v>656</v>
      </c>
      <c r="N315" s="167"/>
      <c r="O315" s="166" t="n">
        <v>0</v>
      </c>
      <c r="P315" s="168" t="str">
        <f aca="false">IF(N315="","",N315+CHOOSE(MIN(O315,3)+1,3,7,21,45))</f>
        <v/>
      </c>
      <c r="Q315" s="166"/>
      <c r="R315" s="169"/>
    </row>
    <row r="316" customFormat="false" ht="23.85" hidden="false" customHeight="false" outlineLevel="0" collapsed="false">
      <c r="A316" s="23" t="n">
        <v>315</v>
      </c>
      <c r="B316" s="23" t="s">
        <v>40</v>
      </c>
      <c r="C316" s="39" t="s">
        <v>39</v>
      </c>
      <c r="D316" s="114" t="s">
        <v>388</v>
      </c>
      <c r="E316" s="114" t="s">
        <v>397</v>
      </c>
      <c r="F316" s="23" t="n">
        <v>17</v>
      </c>
      <c r="G316" s="161" t="s">
        <v>1282</v>
      </c>
      <c r="H316" s="170" t="s">
        <v>9</v>
      </c>
      <c r="I316" s="173" t="s">
        <v>668</v>
      </c>
      <c r="J316" s="174" t="s">
        <v>669</v>
      </c>
      <c r="K316" s="23"/>
      <c r="L316" s="165" t="s">
        <v>1283</v>
      </c>
      <c r="M316" s="166" t="s">
        <v>656</v>
      </c>
      <c r="N316" s="167"/>
      <c r="O316" s="166" t="n">
        <v>0</v>
      </c>
      <c r="P316" s="168" t="str">
        <f aca="false">IF(N316="","",N316+CHOOSE(MIN(O316,3)+1,3,7,21,45))</f>
        <v/>
      </c>
      <c r="Q316" s="166"/>
      <c r="R316" s="169"/>
    </row>
    <row r="317" customFormat="false" ht="23.85" hidden="false" customHeight="false" outlineLevel="0" collapsed="false">
      <c r="A317" s="23" t="n">
        <v>316</v>
      </c>
      <c r="B317" s="23" t="s">
        <v>40</v>
      </c>
      <c r="C317" s="39" t="s">
        <v>39</v>
      </c>
      <c r="D317" s="114" t="s">
        <v>388</v>
      </c>
      <c r="E317" s="114" t="s">
        <v>401</v>
      </c>
      <c r="F317" s="23" t="n">
        <v>131</v>
      </c>
      <c r="G317" s="161" t="s">
        <v>1284</v>
      </c>
      <c r="H317" s="170" t="s">
        <v>9</v>
      </c>
      <c r="I317" s="173" t="s">
        <v>668</v>
      </c>
      <c r="J317" s="174" t="s">
        <v>669</v>
      </c>
      <c r="K317" s="23"/>
      <c r="L317" s="165" t="s">
        <v>1285</v>
      </c>
      <c r="M317" s="166" t="s">
        <v>656</v>
      </c>
      <c r="N317" s="167"/>
      <c r="O317" s="166" t="n">
        <v>0</v>
      </c>
      <c r="P317" s="168" t="str">
        <f aca="false">IF(N317="","",N317+CHOOSE(MIN(O317,3)+1,3,7,21,45))</f>
        <v/>
      </c>
      <c r="Q317" s="166"/>
      <c r="R317" s="169"/>
    </row>
    <row r="318" customFormat="false" ht="23.85" hidden="false" customHeight="false" outlineLevel="0" collapsed="false">
      <c r="A318" s="23" t="n">
        <v>317</v>
      </c>
      <c r="B318" s="23" t="s">
        <v>40</v>
      </c>
      <c r="C318" s="39" t="s">
        <v>39</v>
      </c>
      <c r="D318" s="114" t="s">
        <v>388</v>
      </c>
      <c r="E318" s="114" t="s">
        <v>401</v>
      </c>
      <c r="F318" s="23" t="n">
        <v>93</v>
      </c>
      <c r="G318" s="161" t="s">
        <v>1286</v>
      </c>
      <c r="H318" s="170" t="s">
        <v>9</v>
      </c>
      <c r="I318" s="171" t="s">
        <v>653</v>
      </c>
      <c r="J318" s="172" t="s">
        <v>654</v>
      </c>
      <c r="K318" s="23"/>
      <c r="L318" s="165" t="s">
        <v>1287</v>
      </c>
      <c r="M318" s="166" t="s">
        <v>656</v>
      </c>
      <c r="N318" s="167"/>
      <c r="O318" s="166" t="n">
        <v>0</v>
      </c>
      <c r="P318" s="168" t="str">
        <f aca="false">IF(N318="","",N318+CHOOSE(MIN(O318,3)+1,3,7,21,45))</f>
        <v/>
      </c>
      <c r="Q318" s="166"/>
      <c r="R318" s="169"/>
    </row>
    <row r="319" customFormat="false" ht="23.85" hidden="false" customHeight="false" outlineLevel="0" collapsed="false">
      <c r="A319" s="23" t="n">
        <v>318</v>
      </c>
      <c r="B319" s="23" t="s">
        <v>40</v>
      </c>
      <c r="C319" s="39" t="s">
        <v>39</v>
      </c>
      <c r="D319" s="114" t="s">
        <v>388</v>
      </c>
      <c r="E319" s="114" t="s">
        <v>401</v>
      </c>
      <c r="F319" s="23" t="n">
        <v>698</v>
      </c>
      <c r="G319" s="161" t="s">
        <v>1288</v>
      </c>
      <c r="H319" s="170" t="s">
        <v>9</v>
      </c>
      <c r="I319" s="171" t="s">
        <v>653</v>
      </c>
      <c r="J319" s="172" t="s">
        <v>654</v>
      </c>
      <c r="K319" s="23"/>
      <c r="L319" s="165" t="s">
        <v>1289</v>
      </c>
      <c r="M319" s="166" t="s">
        <v>656</v>
      </c>
      <c r="N319" s="167"/>
      <c r="O319" s="166" t="n">
        <v>0</v>
      </c>
      <c r="P319" s="168" t="str">
        <f aca="false">IF(N319="","",N319+CHOOSE(MIN(O319,3)+1,3,7,21,45))</f>
        <v/>
      </c>
      <c r="Q319" s="166"/>
      <c r="R319" s="169"/>
    </row>
    <row r="320" customFormat="false" ht="23.85" hidden="false" customHeight="false" outlineLevel="0" collapsed="false">
      <c r="A320" s="23" t="n">
        <v>319</v>
      </c>
      <c r="B320" s="23" t="s">
        <v>40</v>
      </c>
      <c r="C320" s="39" t="s">
        <v>39</v>
      </c>
      <c r="D320" s="114" t="s">
        <v>388</v>
      </c>
      <c r="E320" s="114" t="s">
        <v>401</v>
      </c>
      <c r="F320" s="23" t="n">
        <v>282</v>
      </c>
      <c r="G320" s="161" t="s">
        <v>1290</v>
      </c>
      <c r="H320" s="175" t="s">
        <v>11</v>
      </c>
      <c r="I320" s="171" t="s">
        <v>653</v>
      </c>
      <c r="J320" s="172" t="s">
        <v>654</v>
      </c>
      <c r="K320" s="23"/>
      <c r="L320" s="165" t="s">
        <v>1291</v>
      </c>
      <c r="M320" s="166" t="s">
        <v>656</v>
      </c>
      <c r="N320" s="167"/>
      <c r="O320" s="166" t="n">
        <v>0</v>
      </c>
      <c r="P320" s="168" t="str">
        <f aca="false">IF(N320="","",N320+CHOOSE(MIN(O320,3)+1,3,7,21,45))</f>
        <v/>
      </c>
      <c r="Q320" s="166"/>
      <c r="R320" s="169"/>
    </row>
    <row r="321" customFormat="false" ht="23.85" hidden="false" customHeight="false" outlineLevel="0" collapsed="false">
      <c r="A321" s="23" t="n">
        <v>320</v>
      </c>
      <c r="B321" s="23" t="s">
        <v>40</v>
      </c>
      <c r="C321" s="39" t="s">
        <v>39</v>
      </c>
      <c r="D321" s="114" t="s">
        <v>388</v>
      </c>
      <c r="E321" s="114" t="s">
        <v>405</v>
      </c>
      <c r="F321" s="23" t="n">
        <v>22</v>
      </c>
      <c r="G321" s="161" t="s">
        <v>1292</v>
      </c>
      <c r="H321" s="170" t="s">
        <v>9</v>
      </c>
      <c r="I321" s="173" t="s">
        <v>668</v>
      </c>
      <c r="J321" s="174" t="s">
        <v>669</v>
      </c>
      <c r="K321" s="23"/>
      <c r="L321" s="165" t="s">
        <v>1293</v>
      </c>
      <c r="M321" s="166" t="s">
        <v>656</v>
      </c>
      <c r="N321" s="167"/>
      <c r="O321" s="166" t="n">
        <v>0</v>
      </c>
      <c r="P321" s="168" t="str">
        <f aca="false">IF(N321="","",N321+CHOOSE(MIN(O321,3)+1,3,7,21,45))</f>
        <v/>
      </c>
      <c r="Q321" s="166"/>
      <c r="R321" s="169"/>
    </row>
    <row r="322" customFormat="false" ht="23.85" hidden="false" customHeight="false" outlineLevel="0" collapsed="false">
      <c r="A322" s="23" t="n">
        <v>321</v>
      </c>
      <c r="B322" s="23" t="s">
        <v>40</v>
      </c>
      <c r="C322" s="39" t="s">
        <v>39</v>
      </c>
      <c r="D322" s="114" t="s">
        <v>388</v>
      </c>
      <c r="E322" s="114" t="s">
        <v>405</v>
      </c>
      <c r="F322" s="23" t="n">
        <v>89</v>
      </c>
      <c r="G322" s="161" t="s">
        <v>1294</v>
      </c>
      <c r="H322" s="170" t="s">
        <v>9</v>
      </c>
      <c r="I322" s="171" t="s">
        <v>653</v>
      </c>
      <c r="J322" s="172" t="s">
        <v>654</v>
      </c>
      <c r="K322" s="23"/>
      <c r="L322" s="165" t="s">
        <v>1295</v>
      </c>
      <c r="M322" s="166" t="s">
        <v>656</v>
      </c>
      <c r="N322" s="167"/>
      <c r="O322" s="166" t="n">
        <v>0</v>
      </c>
      <c r="P322" s="168" t="str">
        <f aca="false">IF(N322="","",N322+CHOOSE(MIN(O322,3)+1,3,7,21,45))</f>
        <v/>
      </c>
      <c r="Q322" s="166"/>
      <c r="R322" s="169"/>
    </row>
    <row r="323" customFormat="false" ht="23.85" hidden="false" customHeight="false" outlineLevel="0" collapsed="false">
      <c r="A323" s="23" t="n">
        <v>322</v>
      </c>
      <c r="B323" s="23" t="s">
        <v>40</v>
      </c>
      <c r="C323" s="39" t="s">
        <v>39</v>
      </c>
      <c r="D323" s="114" t="s">
        <v>388</v>
      </c>
      <c r="E323" s="114" t="s">
        <v>405</v>
      </c>
      <c r="F323" s="23" t="n">
        <v>301</v>
      </c>
      <c r="G323" s="161" t="s">
        <v>1296</v>
      </c>
      <c r="H323" s="175" t="s">
        <v>11</v>
      </c>
      <c r="I323" s="171" t="s">
        <v>653</v>
      </c>
      <c r="J323" s="172" t="s">
        <v>654</v>
      </c>
      <c r="K323" s="23"/>
      <c r="L323" s="165" t="s">
        <v>1297</v>
      </c>
      <c r="M323" s="166" t="s">
        <v>656</v>
      </c>
      <c r="N323" s="167"/>
      <c r="O323" s="166" t="n">
        <v>0</v>
      </c>
      <c r="P323" s="168" t="str">
        <f aca="false">IF(N323="","",N323+CHOOSE(MIN(O323,3)+1,3,7,21,45))</f>
        <v/>
      </c>
      <c r="Q323" s="166"/>
      <c r="R323" s="169"/>
    </row>
    <row r="324" customFormat="false" ht="23.85" hidden="false" customHeight="false" outlineLevel="0" collapsed="false">
      <c r="A324" s="23" t="n">
        <v>323</v>
      </c>
      <c r="B324" s="23" t="s">
        <v>40</v>
      </c>
      <c r="C324" s="39" t="s">
        <v>39</v>
      </c>
      <c r="D324" s="114" t="s">
        <v>388</v>
      </c>
      <c r="E324" s="114" t="s">
        <v>409</v>
      </c>
      <c r="F324" s="23" t="n">
        <v>79</v>
      </c>
      <c r="G324" s="161" t="s">
        <v>1298</v>
      </c>
      <c r="H324" s="170" t="s">
        <v>9</v>
      </c>
      <c r="I324" s="163" t="s">
        <v>13</v>
      </c>
      <c r="J324" s="164" t="s">
        <v>649</v>
      </c>
      <c r="K324" s="23"/>
      <c r="L324" s="165" t="s">
        <v>1299</v>
      </c>
      <c r="M324" s="166" t="s">
        <v>656</v>
      </c>
      <c r="N324" s="167"/>
      <c r="O324" s="166" t="n">
        <v>0</v>
      </c>
      <c r="P324" s="168" t="str">
        <f aca="false">IF(N324="","",N324+CHOOSE(MIN(O324,3)+1,3,7,21,45))</f>
        <v/>
      </c>
      <c r="Q324" s="166"/>
      <c r="R324" s="169"/>
    </row>
    <row r="325" customFormat="false" ht="23.85" hidden="false" customHeight="false" outlineLevel="0" collapsed="false">
      <c r="A325" s="23" t="n">
        <v>324</v>
      </c>
      <c r="B325" s="23" t="s">
        <v>40</v>
      </c>
      <c r="C325" s="39" t="s">
        <v>39</v>
      </c>
      <c r="D325" s="114" t="s">
        <v>388</v>
      </c>
      <c r="E325" s="114" t="s">
        <v>409</v>
      </c>
      <c r="F325" s="23" t="n">
        <v>51</v>
      </c>
      <c r="G325" s="161" t="s">
        <v>1300</v>
      </c>
      <c r="H325" s="175" t="s">
        <v>11</v>
      </c>
      <c r="I325" s="173" t="s">
        <v>668</v>
      </c>
      <c r="J325" s="174" t="s">
        <v>669</v>
      </c>
      <c r="K325" s="23"/>
      <c r="L325" s="165" t="s">
        <v>1301</v>
      </c>
      <c r="M325" s="166" t="s">
        <v>656</v>
      </c>
      <c r="N325" s="167"/>
      <c r="O325" s="166" t="n">
        <v>0</v>
      </c>
      <c r="P325" s="168" t="str">
        <f aca="false">IF(N325="","",N325+CHOOSE(MIN(O325,3)+1,3,7,21,45))</f>
        <v/>
      </c>
      <c r="Q325" s="166"/>
      <c r="R325" s="169"/>
    </row>
    <row r="326" customFormat="false" ht="23.85" hidden="false" customHeight="false" outlineLevel="0" collapsed="false">
      <c r="A326" s="23" t="n">
        <v>325</v>
      </c>
      <c r="B326" s="23" t="s">
        <v>40</v>
      </c>
      <c r="C326" s="39" t="s">
        <v>39</v>
      </c>
      <c r="D326" s="114" t="s">
        <v>388</v>
      </c>
      <c r="E326" s="114" t="s">
        <v>409</v>
      </c>
      <c r="F326" s="23" t="n">
        <v>52</v>
      </c>
      <c r="G326" s="161" t="s">
        <v>1302</v>
      </c>
      <c r="H326" s="175" t="s">
        <v>11</v>
      </c>
      <c r="I326" s="171" t="s">
        <v>653</v>
      </c>
      <c r="J326" s="172" t="s">
        <v>654</v>
      </c>
      <c r="K326" s="23"/>
      <c r="L326" s="165" t="s">
        <v>1303</v>
      </c>
      <c r="M326" s="166" t="s">
        <v>656</v>
      </c>
      <c r="N326" s="167"/>
      <c r="O326" s="166" t="n">
        <v>0</v>
      </c>
      <c r="P326" s="168" t="str">
        <f aca="false">IF(N326="","",N326+CHOOSE(MIN(O326,3)+1,3,7,21,45))</f>
        <v/>
      </c>
      <c r="Q326" s="166"/>
      <c r="R326" s="169"/>
    </row>
    <row r="327" customFormat="false" ht="23.85" hidden="false" customHeight="false" outlineLevel="0" collapsed="false">
      <c r="A327" s="23" t="n">
        <v>326</v>
      </c>
      <c r="B327" s="23" t="s">
        <v>40</v>
      </c>
      <c r="C327" s="39" t="s">
        <v>39</v>
      </c>
      <c r="D327" s="114" t="s">
        <v>388</v>
      </c>
      <c r="E327" s="114" t="s">
        <v>409</v>
      </c>
      <c r="F327" s="23" t="n">
        <v>37</v>
      </c>
      <c r="G327" s="161" t="s">
        <v>1304</v>
      </c>
      <c r="H327" s="175" t="s">
        <v>11</v>
      </c>
      <c r="I327" s="176" t="s">
        <v>15</v>
      </c>
      <c r="J327" s="174" t="s">
        <v>669</v>
      </c>
      <c r="K327" s="23"/>
      <c r="L327" s="165" t="s">
        <v>1305</v>
      </c>
      <c r="M327" s="166" t="s">
        <v>656</v>
      </c>
      <c r="N327" s="167"/>
      <c r="O327" s="166" t="n">
        <v>0</v>
      </c>
      <c r="P327" s="168" t="str">
        <f aca="false">IF(N327="","",N327+CHOOSE(MIN(O327,3)+1,3,7,21,45))</f>
        <v/>
      </c>
      <c r="Q327" s="166"/>
      <c r="R327" s="169"/>
    </row>
    <row r="328" customFormat="false" ht="15" hidden="false" customHeight="false" outlineLevel="0" collapsed="false">
      <c r="A328" s="23" t="n">
        <v>327</v>
      </c>
      <c r="B328" s="23" t="s">
        <v>40</v>
      </c>
      <c r="C328" s="40" t="s">
        <v>41</v>
      </c>
      <c r="D328" s="119" t="s">
        <v>413</v>
      </c>
      <c r="E328" s="119" t="s">
        <v>414</v>
      </c>
      <c r="F328" s="23" t="n">
        <v>208</v>
      </c>
      <c r="G328" s="161" t="s">
        <v>1306</v>
      </c>
      <c r="H328" s="170" t="s">
        <v>9</v>
      </c>
      <c r="I328" s="163" t="s">
        <v>13</v>
      </c>
      <c r="J328" s="164" t="s">
        <v>649</v>
      </c>
      <c r="K328" s="23"/>
      <c r="L328" s="165" t="s">
        <v>1307</v>
      </c>
      <c r="M328" s="166" t="s">
        <v>656</v>
      </c>
      <c r="N328" s="167"/>
      <c r="O328" s="166" t="n">
        <v>0</v>
      </c>
      <c r="P328" s="168" t="str">
        <f aca="false">IF(N328="","",N328+CHOOSE(MIN(O328,3)+1,3,7,21,45))</f>
        <v/>
      </c>
      <c r="Q328" s="166"/>
      <c r="R328" s="169"/>
    </row>
    <row r="329" customFormat="false" ht="15" hidden="false" customHeight="false" outlineLevel="0" collapsed="false">
      <c r="A329" s="23" t="n">
        <v>328</v>
      </c>
      <c r="B329" s="23" t="s">
        <v>40</v>
      </c>
      <c r="C329" s="40" t="s">
        <v>41</v>
      </c>
      <c r="D329" s="119" t="s">
        <v>413</v>
      </c>
      <c r="E329" s="119" t="s">
        <v>414</v>
      </c>
      <c r="F329" s="23" t="n">
        <v>1268</v>
      </c>
      <c r="G329" s="161" t="s">
        <v>1308</v>
      </c>
      <c r="H329" s="170" t="s">
        <v>9</v>
      </c>
      <c r="I329" s="176" t="s">
        <v>15</v>
      </c>
      <c r="J329" s="174" t="s">
        <v>669</v>
      </c>
      <c r="K329" s="23"/>
      <c r="L329" s="165" t="s">
        <v>1309</v>
      </c>
      <c r="M329" s="166" t="s">
        <v>656</v>
      </c>
      <c r="N329" s="167"/>
      <c r="O329" s="166" t="n">
        <v>0</v>
      </c>
      <c r="P329" s="168" t="str">
        <f aca="false">IF(N329="","",N329+CHOOSE(MIN(O329,3)+1,3,7,21,45))</f>
        <v/>
      </c>
      <c r="Q329" s="166"/>
      <c r="R329" s="169"/>
    </row>
    <row r="330" customFormat="false" ht="15" hidden="false" customHeight="false" outlineLevel="0" collapsed="false">
      <c r="A330" s="23" t="n">
        <v>329</v>
      </c>
      <c r="B330" s="23" t="s">
        <v>40</v>
      </c>
      <c r="C330" s="40" t="s">
        <v>41</v>
      </c>
      <c r="D330" s="119" t="s">
        <v>413</v>
      </c>
      <c r="E330" s="119" t="s">
        <v>414</v>
      </c>
      <c r="F330" s="23" t="n">
        <v>648</v>
      </c>
      <c r="G330" s="161" t="s">
        <v>1310</v>
      </c>
      <c r="H330" s="170" t="s">
        <v>9</v>
      </c>
      <c r="I330" s="171" t="s">
        <v>653</v>
      </c>
      <c r="J330" s="172" t="s">
        <v>654</v>
      </c>
      <c r="K330" s="23"/>
      <c r="L330" s="165" t="s">
        <v>1311</v>
      </c>
      <c r="M330" s="166" t="s">
        <v>656</v>
      </c>
      <c r="N330" s="167"/>
      <c r="O330" s="166" t="n">
        <v>0</v>
      </c>
      <c r="P330" s="168" t="str">
        <f aca="false">IF(N330="","",N330+CHOOSE(MIN(O330,3)+1,3,7,21,45))</f>
        <v/>
      </c>
      <c r="Q330" s="166"/>
      <c r="R330" s="169"/>
    </row>
    <row r="331" customFormat="false" ht="15" hidden="false" customHeight="false" outlineLevel="0" collapsed="false">
      <c r="A331" s="23" t="n">
        <v>330</v>
      </c>
      <c r="B331" s="23" t="s">
        <v>40</v>
      </c>
      <c r="C331" s="40" t="s">
        <v>41</v>
      </c>
      <c r="D331" s="119" t="s">
        <v>413</v>
      </c>
      <c r="E331" s="119" t="s">
        <v>414</v>
      </c>
      <c r="F331" s="23" t="n">
        <v>720</v>
      </c>
      <c r="G331" s="161" t="s">
        <v>1312</v>
      </c>
      <c r="H331" s="170" t="s">
        <v>9</v>
      </c>
      <c r="I331" s="171" t="s">
        <v>653</v>
      </c>
      <c r="J331" s="172" t="s">
        <v>654</v>
      </c>
      <c r="K331" s="23"/>
      <c r="L331" s="165" t="s">
        <v>1313</v>
      </c>
      <c r="M331" s="166" t="s">
        <v>656</v>
      </c>
      <c r="N331" s="167"/>
      <c r="O331" s="166" t="n">
        <v>0</v>
      </c>
      <c r="P331" s="168" t="str">
        <f aca="false">IF(N331="","",N331+CHOOSE(MIN(O331,3)+1,3,7,21,45))</f>
        <v/>
      </c>
      <c r="Q331" s="166"/>
      <c r="R331" s="169"/>
    </row>
    <row r="332" customFormat="false" ht="15" hidden="false" customHeight="false" outlineLevel="0" collapsed="false">
      <c r="A332" s="23" t="n">
        <v>331</v>
      </c>
      <c r="B332" s="23" t="s">
        <v>40</v>
      </c>
      <c r="C332" s="40" t="s">
        <v>41</v>
      </c>
      <c r="D332" s="119" t="s">
        <v>413</v>
      </c>
      <c r="E332" s="119" t="s">
        <v>418</v>
      </c>
      <c r="F332" s="23" t="n">
        <v>211</v>
      </c>
      <c r="G332" s="161" t="s">
        <v>1314</v>
      </c>
      <c r="H332" s="170" t="s">
        <v>9</v>
      </c>
      <c r="I332" s="163" t="s">
        <v>13</v>
      </c>
      <c r="J332" s="164" t="s">
        <v>649</v>
      </c>
      <c r="K332" s="23"/>
      <c r="L332" s="165" t="s">
        <v>1315</v>
      </c>
      <c r="M332" s="166" t="s">
        <v>656</v>
      </c>
      <c r="N332" s="167"/>
      <c r="O332" s="166" t="n">
        <v>0</v>
      </c>
      <c r="P332" s="168" t="str">
        <f aca="false">IF(N332="","",N332+CHOOSE(MIN(O332,3)+1,3,7,21,45))</f>
        <v/>
      </c>
      <c r="Q332" s="166"/>
      <c r="R332" s="169"/>
    </row>
    <row r="333" customFormat="false" ht="15" hidden="false" customHeight="false" outlineLevel="0" collapsed="false">
      <c r="A333" s="23" t="n">
        <v>332</v>
      </c>
      <c r="B333" s="23" t="s">
        <v>40</v>
      </c>
      <c r="C333" s="40" t="s">
        <v>41</v>
      </c>
      <c r="D333" s="119" t="s">
        <v>413</v>
      </c>
      <c r="E333" s="119" t="s">
        <v>418</v>
      </c>
      <c r="F333" s="23" t="n">
        <v>676</v>
      </c>
      <c r="G333" s="161" t="s">
        <v>1316</v>
      </c>
      <c r="H333" s="170" t="s">
        <v>9</v>
      </c>
      <c r="I333" s="171" t="s">
        <v>653</v>
      </c>
      <c r="J333" s="172" t="s">
        <v>654</v>
      </c>
      <c r="K333" s="23"/>
      <c r="L333" s="165" t="s">
        <v>1317</v>
      </c>
      <c r="M333" s="166" t="s">
        <v>656</v>
      </c>
      <c r="N333" s="167"/>
      <c r="O333" s="166" t="n">
        <v>0</v>
      </c>
      <c r="P333" s="168" t="str">
        <f aca="false">IF(N333="","",N333+CHOOSE(MIN(O333,3)+1,3,7,21,45))</f>
        <v/>
      </c>
      <c r="Q333" s="166"/>
      <c r="R333" s="169"/>
    </row>
    <row r="334" customFormat="false" ht="15" hidden="false" customHeight="false" outlineLevel="0" collapsed="false">
      <c r="A334" s="23" t="n">
        <v>333</v>
      </c>
      <c r="B334" s="23" t="s">
        <v>40</v>
      </c>
      <c r="C334" s="40" t="s">
        <v>41</v>
      </c>
      <c r="D334" s="119" t="s">
        <v>413</v>
      </c>
      <c r="E334" s="119" t="s">
        <v>422</v>
      </c>
      <c r="F334" s="23" t="n">
        <v>212</v>
      </c>
      <c r="G334" s="161" t="s">
        <v>1318</v>
      </c>
      <c r="H334" s="175" t="s">
        <v>11</v>
      </c>
      <c r="I334" s="163" t="s">
        <v>13</v>
      </c>
      <c r="J334" s="164" t="s">
        <v>649</v>
      </c>
      <c r="K334" s="23"/>
      <c r="L334" s="165" t="s">
        <v>1319</v>
      </c>
      <c r="M334" s="166" t="s">
        <v>656</v>
      </c>
      <c r="N334" s="167"/>
      <c r="O334" s="166" t="n">
        <v>0</v>
      </c>
      <c r="P334" s="168" t="str">
        <f aca="false">IF(N334="","",N334+CHOOSE(MIN(O334,3)+1,3,7,21,45))</f>
        <v/>
      </c>
      <c r="Q334" s="166"/>
      <c r="R334" s="169"/>
    </row>
    <row r="335" customFormat="false" ht="15" hidden="false" customHeight="false" outlineLevel="0" collapsed="false">
      <c r="A335" s="23" t="n">
        <v>334</v>
      </c>
      <c r="B335" s="23" t="s">
        <v>40</v>
      </c>
      <c r="C335" s="40" t="s">
        <v>41</v>
      </c>
      <c r="D335" s="119" t="s">
        <v>413</v>
      </c>
      <c r="E335" s="119" t="s">
        <v>422</v>
      </c>
      <c r="F335" s="23" t="n">
        <v>472</v>
      </c>
      <c r="G335" s="161" t="s">
        <v>1320</v>
      </c>
      <c r="H335" s="175" t="s">
        <v>11</v>
      </c>
      <c r="I335" s="171" t="s">
        <v>653</v>
      </c>
      <c r="J335" s="172" t="s">
        <v>654</v>
      </c>
      <c r="K335" s="23"/>
      <c r="L335" s="165" t="s">
        <v>1321</v>
      </c>
      <c r="M335" s="166" t="s">
        <v>656</v>
      </c>
      <c r="N335" s="167"/>
      <c r="O335" s="166" t="n">
        <v>0</v>
      </c>
      <c r="P335" s="168" t="str">
        <f aca="false">IF(N335="","",N335+CHOOSE(MIN(O335,3)+1,3,7,21,45))</f>
        <v/>
      </c>
      <c r="Q335" s="166"/>
      <c r="R335" s="169"/>
    </row>
    <row r="336" customFormat="false" ht="15" hidden="false" customHeight="false" outlineLevel="0" collapsed="false">
      <c r="A336" s="23" t="n">
        <v>335</v>
      </c>
      <c r="B336" s="23" t="s">
        <v>40</v>
      </c>
      <c r="C336" s="40" t="s">
        <v>41</v>
      </c>
      <c r="D336" s="119" t="s">
        <v>413</v>
      </c>
      <c r="E336" s="119" t="s">
        <v>426</v>
      </c>
      <c r="F336" s="23" t="n">
        <v>421</v>
      </c>
      <c r="G336" s="161" t="s">
        <v>1322</v>
      </c>
      <c r="H336" s="170" t="s">
        <v>9</v>
      </c>
      <c r="I336" s="171" t="s">
        <v>653</v>
      </c>
      <c r="J336" s="172" t="s">
        <v>654</v>
      </c>
      <c r="K336" s="23"/>
      <c r="L336" s="165" t="s">
        <v>1323</v>
      </c>
      <c r="M336" s="166" t="s">
        <v>656</v>
      </c>
      <c r="N336" s="167"/>
      <c r="O336" s="166" t="n">
        <v>0</v>
      </c>
      <c r="P336" s="168" t="str">
        <f aca="false">IF(N336="","",N336+CHOOSE(MIN(O336,3)+1,3,7,21,45))</f>
        <v/>
      </c>
      <c r="Q336" s="166"/>
      <c r="R336" s="169"/>
    </row>
    <row r="337" customFormat="false" ht="15" hidden="false" customHeight="false" outlineLevel="0" collapsed="false">
      <c r="A337" s="23" t="n">
        <v>336</v>
      </c>
      <c r="B337" s="23" t="s">
        <v>40</v>
      </c>
      <c r="C337" s="40" t="s">
        <v>41</v>
      </c>
      <c r="D337" s="119" t="s">
        <v>413</v>
      </c>
      <c r="E337" s="119" t="s">
        <v>426</v>
      </c>
      <c r="F337" s="23" t="n">
        <v>1707</v>
      </c>
      <c r="G337" s="161" t="s">
        <v>1324</v>
      </c>
      <c r="H337" s="175" t="s">
        <v>11</v>
      </c>
      <c r="I337" s="171" t="s">
        <v>653</v>
      </c>
      <c r="J337" s="172" t="s">
        <v>654</v>
      </c>
      <c r="K337" s="23"/>
      <c r="L337" s="165" t="s">
        <v>1325</v>
      </c>
      <c r="M337" s="166" t="s">
        <v>656</v>
      </c>
      <c r="N337" s="167"/>
      <c r="O337" s="166" t="n">
        <v>0</v>
      </c>
      <c r="P337" s="168" t="str">
        <f aca="false">IF(N337="","",N337+CHOOSE(MIN(O337,3)+1,3,7,21,45))</f>
        <v/>
      </c>
      <c r="Q337" s="166"/>
      <c r="R337" s="169"/>
    </row>
    <row r="338" customFormat="false" ht="15" hidden="false" customHeight="false" outlineLevel="0" collapsed="false">
      <c r="A338" s="23" t="n">
        <v>337</v>
      </c>
      <c r="B338" s="23" t="s">
        <v>72</v>
      </c>
      <c r="C338" s="41" t="s">
        <v>42</v>
      </c>
      <c r="D338" s="124" t="s">
        <v>431</v>
      </c>
      <c r="E338" s="124" t="s">
        <v>432</v>
      </c>
      <c r="F338" s="23" t="n">
        <v>733</v>
      </c>
      <c r="G338" s="161" t="s">
        <v>1326</v>
      </c>
      <c r="H338" s="162" t="s">
        <v>7</v>
      </c>
      <c r="I338" s="171" t="s">
        <v>653</v>
      </c>
      <c r="J338" s="172" t="s">
        <v>654</v>
      </c>
      <c r="K338" s="23"/>
      <c r="L338" s="165" t="s">
        <v>1327</v>
      </c>
      <c r="M338" s="166" t="s">
        <v>656</v>
      </c>
      <c r="N338" s="167"/>
      <c r="O338" s="166" t="n">
        <v>0</v>
      </c>
      <c r="P338" s="168" t="str">
        <f aca="false">IF(N338="","",N338+CHOOSE(MIN(O338,3)+1,3,7,21,45))</f>
        <v/>
      </c>
      <c r="Q338" s="166"/>
      <c r="R338" s="169"/>
    </row>
    <row r="339" customFormat="false" ht="15" hidden="false" customHeight="false" outlineLevel="0" collapsed="false">
      <c r="A339" s="23" t="n">
        <v>338</v>
      </c>
      <c r="B339" s="23" t="s">
        <v>72</v>
      </c>
      <c r="C339" s="41" t="s">
        <v>42</v>
      </c>
      <c r="D339" s="124" t="s">
        <v>431</v>
      </c>
      <c r="E339" s="124" t="s">
        <v>432</v>
      </c>
      <c r="F339" s="23" t="n">
        <v>463</v>
      </c>
      <c r="G339" s="161" t="s">
        <v>1328</v>
      </c>
      <c r="H339" s="162" t="s">
        <v>7</v>
      </c>
      <c r="I339" s="171" t="s">
        <v>653</v>
      </c>
      <c r="J339" s="172" t="s">
        <v>654</v>
      </c>
      <c r="K339" s="23"/>
      <c r="L339" s="165" t="s">
        <v>1329</v>
      </c>
      <c r="M339" s="166" t="s">
        <v>656</v>
      </c>
      <c r="N339" s="167"/>
      <c r="O339" s="166" t="n">
        <v>0</v>
      </c>
      <c r="P339" s="168" t="str">
        <f aca="false">IF(N339="","",N339+CHOOSE(MIN(O339,3)+1,3,7,21,45))</f>
        <v/>
      </c>
      <c r="Q339" s="166"/>
      <c r="R339" s="169"/>
    </row>
    <row r="340" customFormat="false" ht="15" hidden="false" customHeight="false" outlineLevel="0" collapsed="false">
      <c r="A340" s="23" t="n">
        <v>339</v>
      </c>
      <c r="B340" s="23" t="s">
        <v>72</v>
      </c>
      <c r="C340" s="41" t="s">
        <v>42</v>
      </c>
      <c r="D340" s="124" t="s">
        <v>431</v>
      </c>
      <c r="E340" s="124" t="s">
        <v>432</v>
      </c>
      <c r="F340" s="23" t="n">
        <v>200</v>
      </c>
      <c r="G340" s="161" t="s">
        <v>1330</v>
      </c>
      <c r="H340" s="170" t="s">
        <v>9</v>
      </c>
      <c r="I340" s="163" t="s">
        <v>13</v>
      </c>
      <c r="J340" s="164" t="s">
        <v>649</v>
      </c>
      <c r="K340" s="23"/>
      <c r="L340" s="165" t="s">
        <v>1331</v>
      </c>
      <c r="M340" s="166" t="s">
        <v>656</v>
      </c>
      <c r="N340" s="167"/>
      <c r="O340" s="166" t="n">
        <v>0</v>
      </c>
      <c r="P340" s="168" t="str">
        <f aca="false">IF(N340="","",N340+CHOOSE(MIN(O340,3)+1,3,7,21,45))</f>
        <v/>
      </c>
      <c r="Q340" s="166"/>
      <c r="R340" s="169"/>
    </row>
    <row r="341" customFormat="false" ht="15" hidden="false" customHeight="false" outlineLevel="0" collapsed="false">
      <c r="A341" s="23" t="n">
        <v>340</v>
      </c>
      <c r="B341" s="23" t="s">
        <v>72</v>
      </c>
      <c r="C341" s="41" t="s">
        <v>42</v>
      </c>
      <c r="D341" s="124" t="s">
        <v>431</v>
      </c>
      <c r="E341" s="124" t="s">
        <v>432</v>
      </c>
      <c r="F341" s="23" t="n">
        <v>695</v>
      </c>
      <c r="G341" s="161" t="s">
        <v>1332</v>
      </c>
      <c r="H341" s="170" t="s">
        <v>9</v>
      </c>
      <c r="I341" s="173" t="s">
        <v>668</v>
      </c>
      <c r="J341" s="174" t="s">
        <v>669</v>
      </c>
      <c r="K341" s="23"/>
      <c r="L341" s="165" t="s">
        <v>1333</v>
      </c>
      <c r="M341" s="166" t="s">
        <v>656</v>
      </c>
      <c r="N341" s="167"/>
      <c r="O341" s="166" t="n">
        <v>0</v>
      </c>
      <c r="P341" s="168" t="str">
        <f aca="false">IF(N341="","",N341+CHOOSE(MIN(O341,3)+1,3,7,21,45))</f>
        <v/>
      </c>
      <c r="Q341" s="166"/>
      <c r="R341" s="169"/>
    </row>
    <row r="342" customFormat="false" ht="15" hidden="false" customHeight="false" outlineLevel="0" collapsed="false">
      <c r="A342" s="23" t="n">
        <v>341</v>
      </c>
      <c r="B342" s="23" t="s">
        <v>72</v>
      </c>
      <c r="C342" s="41" t="s">
        <v>42</v>
      </c>
      <c r="D342" s="124" t="s">
        <v>431</v>
      </c>
      <c r="E342" s="124" t="s">
        <v>432</v>
      </c>
      <c r="F342" s="23" t="n">
        <v>694</v>
      </c>
      <c r="G342" s="161" t="s">
        <v>1334</v>
      </c>
      <c r="H342" s="170" t="s">
        <v>9</v>
      </c>
      <c r="I342" s="171" t="s">
        <v>653</v>
      </c>
      <c r="J342" s="172" t="s">
        <v>654</v>
      </c>
      <c r="K342" s="23" t="s">
        <v>672</v>
      </c>
      <c r="L342" s="165" t="s">
        <v>1335</v>
      </c>
      <c r="M342" s="166" t="s">
        <v>656</v>
      </c>
      <c r="N342" s="167"/>
      <c r="O342" s="166" t="n">
        <v>0</v>
      </c>
      <c r="P342" s="168" t="str">
        <f aca="false">IF(N342="","",N342+CHOOSE(MIN(O342,3)+1,3,7,21,45))</f>
        <v/>
      </c>
      <c r="Q342" s="166"/>
      <c r="R342" s="169"/>
    </row>
    <row r="343" customFormat="false" ht="15" hidden="false" customHeight="false" outlineLevel="0" collapsed="false">
      <c r="A343" s="23" t="n">
        <v>342</v>
      </c>
      <c r="B343" s="23" t="s">
        <v>72</v>
      </c>
      <c r="C343" s="41" t="s">
        <v>42</v>
      </c>
      <c r="D343" s="124" t="s">
        <v>431</v>
      </c>
      <c r="E343" s="124" t="s">
        <v>435</v>
      </c>
      <c r="F343" s="23" t="n">
        <v>130</v>
      </c>
      <c r="G343" s="161" t="s">
        <v>1336</v>
      </c>
      <c r="H343" s="170" t="s">
        <v>9</v>
      </c>
      <c r="I343" s="173" t="s">
        <v>668</v>
      </c>
      <c r="J343" s="174" t="s">
        <v>669</v>
      </c>
      <c r="K343" s="23"/>
      <c r="L343" s="165" t="s">
        <v>1337</v>
      </c>
      <c r="M343" s="166" t="s">
        <v>656</v>
      </c>
      <c r="N343" s="167"/>
      <c r="O343" s="166" t="n">
        <v>0</v>
      </c>
      <c r="P343" s="168" t="str">
        <f aca="false">IF(N343="","",N343+CHOOSE(MIN(O343,3)+1,3,7,21,45))</f>
        <v/>
      </c>
      <c r="Q343" s="166"/>
      <c r="R343" s="169"/>
    </row>
    <row r="344" customFormat="false" ht="15" hidden="false" customHeight="false" outlineLevel="0" collapsed="false">
      <c r="A344" s="23" t="n">
        <v>343</v>
      </c>
      <c r="B344" s="23" t="s">
        <v>72</v>
      </c>
      <c r="C344" s="41" t="s">
        <v>42</v>
      </c>
      <c r="D344" s="124" t="s">
        <v>431</v>
      </c>
      <c r="E344" s="124" t="s">
        <v>435</v>
      </c>
      <c r="F344" s="23" t="n">
        <v>417</v>
      </c>
      <c r="G344" s="161" t="s">
        <v>1338</v>
      </c>
      <c r="H344" s="170" t="s">
        <v>9</v>
      </c>
      <c r="I344" s="163" t="s">
        <v>13</v>
      </c>
      <c r="J344" s="164" t="s">
        <v>649</v>
      </c>
      <c r="K344" s="23"/>
      <c r="L344" s="165" t="s">
        <v>1339</v>
      </c>
      <c r="M344" s="166" t="s">
        <v>656</v>
      </c>
      <c r="N344" s="167"/>
      <c r="O344" s="166" t="n">
        <v>0</v>
      </c>
      <c r="P344" s="168" t="str">
        <f aca="false">IF(N344="","",N344+CHOOSE(MIN(O344,3)+1,3,7,21,45))</f>
        <v/>
      </c>
      <c r="Q344" s="166"/>
      <c r="R344" s="169"/>
    </row>
    <row r="345" customFormat="false" ht="15" hidden="false" customHeight="false" outlineLevel="0" collapsed="false">
      <c r="A345" s="23" t="n">
        <v>344</v>
      </c>
      <c r="B345" s="23" t="s">
        <v>72</v>
      </c>
      <c r="C345" s="41" t="s">
        <v>42</v>
      </c>
      <c r="D345" s="124" t="s">
        <v>431</v>
      </c>
      <c r="E345" s="124" t="s">
        <v>435</v>
      </c>
      <c r="F345" s="23" t="n">
        <v>1020</v>
      </c>
      <c r="G345" s="161" t="s">
        <v>1340</v>
      </c>
      <c r="H345" s="170" t="s">
        <v>9</v>
      </c>
      <c r="I345" s="171" t="s">
        <v>653</v>
      </c>
      <c r="J345" s="172" t="s">
        <v>654</v>
      </c>
      <c r="K345" s="23"/>
      <c r="L345" s="165" t="s">
        <v>1341</v>
      </c>
      <c r="M345" s="166" t="s">
        <v>656</v>
      </c>
      <c r="N345" s="167"/>
      <c r="O345" s="166" t="n">
        <v>0</v>
      </c>
      <c r="P345" s="168" t="str">
        <f aca="false">IF(N345="","",N345+CHOOSE(MIN(O345,3)+1,3,7,21,45))</f>
        <v/>
      </c>
      <c r="Q345" s="166"/>
      <c r="R345" s="169"/>
    </row>
    <row r="346" customFormat="false" ht="15" hidden="false" customHeight="false" outlineLevel="0" collapsed="false">
      <c r="A346" s="23" t="n">
        <v>345</v>
      </c>
      <c r="B346" s="23" t="s">
        <v>72</v>
      </c>
      <c r="C346" s="41" t="s">
        <v>42</v>
      </c>
      <c r="D346" s="124" t="s">
        <v>431</v>
      </c>
      <c r="E346" s="124" t="s">
        <v>435</v>
      </c>
      <c r="F346" s="23" t="n">
        <v>1254</v>
      </c>
      <c r="G346" s="161" t="s">
        <v>1342</v>
      </c>
      <c r="H346" s="170" t="s">
        <v>9</v>
      </c>
      <c r="I346" s="171" t="s">
        <v>653</v>
      </c>
      <c r="J346" s="172" t="s">
        <v>654</v>
      </c>
      <c r="K346" s="23"/>
      <c r="L346" s="165" t="s">
        <v>1343</v>
      </c>
      <c r="M346" s="166" t="s">
        <v>656</v>
      </c>
      <c r="N346" s="167"/>
      <c r="O346" s="166" t="n">
        <v>0</v>
      </c>
      <c r="P346" s="168" t="str">
        <f aca="false">IF(N346="","",N346+CHOOSE(MIN(O346,3)+1,3,7,21,45))</f>
        <v/>
      </c>
      <c r="Q346" s="166"/>
      <c r="R346" s="169"/>
    </row>
    <row r="347" customFormat="false" ht="15" hidden="false" customHeight="false" outlineLevel="0" collapsed="false">
      <c r="A347" s="23" t="n">
        <v>346</v>
      </c>
      <c r="B347" s="23" t="s">
        <v>72</v>
      </c>
      <c r="C347" s="41" t="s">
        <v>42</v>
      </c>
      <c r="D347" s="124" t="s">
        <v>431</v>
      </c>
      <c r="E347" s="124" t="s">
        <v>438</v>
      </c>
      <c r="F347" s="23" t="n">
        <v>994</v>
      </c>
      <c r="G347" s="161" t="s">
        <v>1344</v>
      </c>
      <c r="H347" s="170" t="s">
        <v>9</v>
      </c>
      <c r="I347" s="173" t="s">
        <v>668</v>
      </c>
      <c r="J347" s="174" t="s">
        <v>669</v>
      </c>
      <c r="K347" s="23"/>
      <c r="L347" s="165" t="s">
        <v>1345</v>
      </c>
      <c r="M347" s="166" t="s">
        <v>656</v>
      </c>
      <c r="N347" s="167"/>
      <c r="O347" s="166" t="n">
        <v>0</v>
      </c>
      <c r="P347" s="168" t="str">
        <f aca="false">IF(N347="","",N347+CHOOSE(MIN(O347,3)+1,3,7,21,45))</f>
        <v/>
      </c>
      <c r="Q347" s="166"/>
      <c r="R347" s="169"/>
    </row>
    <row r="348" customFormat="false" ht="15" hidden="false" customHeight="false" outlineLevel="0" collapsed="false">
      <c r="A348" s="23" t="n">
        <v>347</v>
      </c>
      <c r="B348" s="23" t="s">
        <v>72</v>
      </c>
      <c r="C348" s="41" t="s">
        <v>42</v>
      </c>
      <c r="D348" s="124" t="s">
        <v>431</v>
      </c>
      <c r="E348" s="124" t="s">
        <v>438</v>
      </c>
      <c r="F348" s="23" t="n">
        <v>542</v>
      </c>
      <c r="G348" s="161" t="s">
        <v>1346</v>
      </c>
      <c r="H348" s="170" t="s">
        <v>9</v>
      </c>
      <c r="I348" s="176" t="s">
        <v>15</v>
      </c>
      <c r="J348" s="174" t="s">
        <v>669</v>
      </c>
      <c r="K348" s="23"/>
      <c r="L348" s="165" t="s">
        <v>1347</v>
      </c>
      <c r="M348" s="166" t="s">
        <v>656</v>
      </c>
      <c r="N348" s="167"/>
      <c r="O348" s="166" t="n">
        <v>0</v>
      </c>
      <c r="P348" s="168" t="str">
        <f aca="false">IF(N348="","",N348+CHOOSE(MIN(O348,3)+1,3,7,21,45))</f>
        <v/>
      </c>
      <c r="Q348" s="166"/>
      <c r="R348" s="169"/>
    </row>
    <row r="349" customFormat="false" ht="15" hidden="false" customHeight="false" outlineLevel="0" collapsed="false">
      <c r="A349" s="23" t="n">
        <v>348</v>
      </c>
      <c r="B349" s="23" t="s">
        <v>72</v>
      </c>
      <c r="C349" s="41" t="s">
        <v>42</v>
      </c>
      <c r="D349" s="124" t="s">
        <v>431</v>
      </c>
      <c r="E349" s="124" t="s">
        <v>438</v>
      </c>
      <c r="F349" s="23" t="n">
        <v>286</v>
      </c>
      <c r="G349" s="161" t="s">
        <v>1348</v>
      </c>
      <c r="H349" s="170" t="s">
        <v>9</v>
      </c>
      <c r="I349" s="173" t="s">
        <v>668</v>
      </c>
      <c r="J349" s="174" t="s">
        <v>669</v>
      </c>
      <c r="K349" s="23" t="s">
        <v>672</v>
      </c>
      <c r="L349" s="165" t="s">
        <v>1349</v>
      </c>
      <c r="M349" s="166" t="s">
        <v>656</v>
      </c>
      <c r="N349" s="167"/>
      <c r="O349" s="166" t="n">
        <v>0</v>
      </c>
      <c r="P349" s="168" t="str">
        <f aca="false">IF(N349="","",N349+CHOOSE(MIN(O349,3)+1,3,7,21,45))</f>
        <v/>
      </c>
      <c r="Q349" s="166"/>
      <c r="R349" s="169"/>
    </row>
    <row r="350" customFormat="false" ht="15" hidden="false" customHeight="false" outlineLevel="0" collapsed="false">
      <c r="A350" s="23" t="n">
        <v>349</v>
      </c>
      <c r="B350" s="23" t="s">
        <v>72</v>
      </c>
      <c r="C350" s="41" t="s">
        <v>42</v>
      </c>
      <c r="D350" s="124" t="s">
        <v>431</v>
      </c>
      <c r="E350" s="124" t="s">
        <v>438</v>
      </c>
      <c r="F350" s="23" t="n">
        <v>1162</v>
      </c>
      <c r="G350" s="161" t="s">
        <v>1350</v>
      </c>
      <c r="H350" s="170" t="s">
        <v>9</v>
      </c>
      <c r="I350" s="171" t="s">
        <v>653</v>
      </c>
      <c r="J350" s="172" t="s">
        <v>654</v>
      </c>
      <c r="K350" s="23"/>
      <c r="L350" s="165" t="s">
        <v>1351</v>
      </c>
      <c r="M350" s="166" t="s">
        <v>656</v>
      </c>
      <c r="N350" s="167"/>
      <c r="O350" s="166" t="n">
        <v>0</v>
      </c>
      <c r="P350" s="168" t="str">
        <f aca="false">IF(N350="","",N350+CHOOSE(MIN(O350,3)+1,3,7,21,45))</f>
        <v/>
      </c>
      <c r="Q350" s="166"/>
      <c r="R350" s="169"/>
    </row>
    <row r="351" customFormat="false" ht="15" hidden="false" customHeight="false" outlineLevel="0" collapsed="false">
      <c r="A351" s="23" t="n">
        <v>350</v>
      </c>
      <c r="B351" s="23" t="s">
        <v>72</v>
      </c>
      <c r="C351" s="41" t="s">
        <v>42</v>
      </c>
      <c r="D351" s="124" t="s">
        <v>431</v>
      </c>
      <c r="E351" s="124" t="s">
        <v>438</v>
      </c>
      <c r="F351" s="23" t="n">
        <v>1765</v>
      </c>
      <c r="G351" s="161" t="s">
        <v>1352</v>
      </c>
      <c r="H351" s="170" t="s">
        <v>9</v>
      </c>
      <c r="I351" s="171" t="s">
        <v>653</v>
      </c>
      <c r="J351" s="172" t="s">
        <v>654</v>
      </c>
      <c r="K351" s="23"/>
      <c r="L351" s="165" t="s">
        <v>1353</v>
      </c>
      <c r="M351" s="166" t="s">
        <v>656</v>
      </c>
      <c r="N351" s="167"/>
      <c r="O351" s="166" t="n">
        <v>0</v>
      </c>
      <c r="P351" s="168" t="str">
        <f aca="false">IF(N351="","",N351+CHOOSE(MIN(O351,3)+1,3,7,21,45))</f>
        <v/>
      </c>
      <c r="Q351" s="166"/>
      <c r="R351" s="169"/>
    </row>
    <row r="352" customFormat="false" ht="15" hidden="false" customHeight="false" outlineLevel="0" collapsed="false">
      <c r="A352" s="23" t="n">
        <v>351</v>
      </c>
      <c r="B352" s="23" t="s">
        <v>72</v>
      </c>
      <c r="C352" s="41" t="s">
        <v>42</v>
      </c>
      <c r="D352" s="124" t="s">
        <v>441</v>
      </c>
      <c r="E352" s="124" t="s">
        <v>442</v>
      </c>
      <c r="F352" s="23" t="n">
        <v>1971</v>
      </c>
      <c r="G352" s="161" t="s">
        <v>1354</v>
      </c>
      <c r="H352" s="162" t="s">
        <v>7</v>
      </c>
      <c r="I352" s="171" t="s">
        <v>653</v>
      </c>
      <c r="J352" s="172" t="s">
        <v>654</v>
      </c>
      <c r="K352" s="23"/>
      <c r="L352" s="165" t="s">
        <v>1355</v>
      </c>
      <c r="M352" s="166" t="s">
        <v>656</v>
      </c>
      <c r="N352" s="167"/>
      <c r="O352" s="166" t="n">
        <v>0</v>
      </c>
      <c r="P352" s="168" t="str">
        <f aca="false">IF(N352="","",N352+CHOOSE(MIN(O352,3)+1,3,7,21,45))</f>
        <v/>
      </c>
      <c r="Q352" s="166"/>
      <c r="R352" s="169"/>
    </row>
    <row r="353" customFormat="false" ht="15" hidden="false" customHeight="false" outlineLevel="0" collapsed="false">
      <c r="A353" s="23" t="n">
        <v>352</v>
      </c>
      <c r="B353" s="23" t="s">
        <v>72</v>
      </c>
      <c r="C353" s="41" t="s">
        <v>42</v>
      </c>
      <c r="D353" s="124" t="s">
        <v>441</v>
      </c>
      <c r="E353" s="124" t="s">
        <v>442</v>
      </c>
      <c r="F353" s="23" t="n">
        <v>997</v>
      </c>
      <c r="G353" s="161" t="s">
        <v>1356</v>
      </c>
      <c r="H353" s="162" t="s">
        <v>7</v>
      </c>
      <c r="I353" s="171" t="s">
        <v>653</v>
      </c>
      <c r="J353" s="172" t="s">
        <v>654</v>
      </c>
      <c r="K353" s="23"/>
      <c r="L353" s="165" t="s">
        <v>1357</v>
      </c>
      <c r="M353" s="166" t="s">
        <v>656</v>
      </c>
      <c r="N353" s="167"/>
      <c r="O353" s="166" t="n">
        <v>0</v>
      </c>
      <c r="P353" s="168" t="str">
        <f aca="false">IF(N353="","",N353+CHOOSE(MIN(O353,3)+1,3,7,21,45))</f>
        <v/>
      </c>
      <c r="Q353" s="166"/>
      <c r="R353" s="169"/>
    </row>
    <row r="354" customFormat="false" ht="15" hidden="false" customHeight="false" outlineLevel="0" collapsed="false">
      <c r="A354" s="23" t="n">
        <v>353</v>
      </c>
      <c r="B354" s="23" t="s">
        <v>72</v>
      </c>
      <c r="C354" s="41" t="s">
        <v>42</v>
      </c>
      <c r="D354" s="124" t="s">
        <v>441</v>
      </c>
      <c r="E354" s="124" t="s">
        <v>442</v>
      </c>
      <c r="F354" s="23" t="n">
        <v>133</v>
      </c>
      <c r="G354" s="161" t="s">
        <v>1358</v>
      </c>
      <c r="H354" s="170" t="s">
        <v>9</v>
      </c>
      <c r="I354" s="163" t="s">
        <v>13</v>
      </c>
      <c r="J354" s="164" t="s">
        <v>649</v>
      </c>
      <c r="K354" s="23"/>
      <c r="L354" s="165" t="s">
        <v>1359</v>
      </c>
      <c r="M354" s="166" t="s">
        <v>656</v>
      </c>
      <c r="N354" s="167"/>
      <c r="O354" s="166" t="n">
        <v>0</v>
      </c>
      <c r="P354" s="168" t="str">
        <f aca="false">IF(N354="","",N354+CHOOSE(MIN(O354,3)+1,3,7,21,45))</f>
        <v/>
      </c>
      <c r="Q354" s="166"/>
      <c r="R354" s="169"/>
    </row>
    <row r="355" customFormat="false" ht="15" hidden="false" customHeight="false" outlineLevel="0" collapsed="false">
      <c r="A355" s="23" t="n">
        <v>354</v>
      </c>
      <c r="B355" s="23" t="s">
        <v>72</v>
      </c>
      <c r="C355" s="41" t="s">
        <v>42</v>
      </c>
      <c r="D355" s="124" t="s">
        <v>441</v>
      </c>
      <c r="E355" s="124" t="s">
        <v>442</v>
      </c>
      <c r="F355" s="23" t="n">
        <v>547</v>
      </c>
      <c r="G355" s="161" t="s">
        <v>1360</v>
      </c>
      <c r="H355" s="170" t="s">
        <v>9</v>
      </c>
      <c r="I355" s="176" t="s">
        <v>15</v>
      </c>
      <c r="J355" s="174" t="s">
        <v>669</v>
      </c>
      <c r="K355" s="23"/>
      <c r="L355" s="165" t="s">
        <v>1361</v>
      </c>
      <c r="M355" s="166" t="s">
        <v>656</v>
      </c>
      <c r="N355" s="167"/>
      <c r="O355" s="166" t="n">
        <v>0</v>
      </c>
      <c r="P355" s="168" t="str">
        <f aca="false">IF(N355="","",N355+CHOOSE(MIN(O355,3)+1,3,7,21,45))</f>
        <v/>
      </c>
      <c r="Q355" s="166"/>
      <c r="R355" s="169"/>
    </row>
    <row r="356" customFormat="false" ht="15" hidden="false" customHeight="false" outlineLevel="0" collapsed="false">
      <c r="A356" s="23" t="n">
        <v>355</v>
      </c>
      <c r="B356" s="23" t="s">
        <v>72</v>
      </c>
      <c r="C356" s="41" t="s">
        <v>42</v>
      </c>
      <c r="D356" s="124" t="s">
        <v>441</v>
      </c>
      <c r="E356" s="124" t="s">
        <v>442</v>
      </c>
      <c r="F356" s="23" t="n">
        <v>841</v>
      </c>
      <c r="G356" s="161" t="s">
        <v>1362</v>
      </c>
      <c r="H356" s="170" t="s">
        <v>9</v>
      </c>
      <c r="I356" s="171" t="s">
        <v>653</v>
      </c>
      <c r="J356" s="172" t="s">
        <v>654</v>
      </c>
      <c r="K356" s="23"/>
      <c r="L356" s="165" t="s">
        <v>1363</v>
      </c>
      <c r="M356" s="166" t="s">
        <v>656</v>
      </c>
      <c r="N356" s="167"/>
      <c r="O356" s="166" t="n">
        <v>0</v>
      </c>
      <c r="P356" s="168" t="str">
        <f aca="false">IF(N356="","",N356+CHOOSE(MIN(O356,3)+1,3,7,21,45))</f>
        <v/>
      </c>
      <c r="Q356" s="166"/>
      <c r="R356" s="169"/>
    </row>
    <row r="357" customFormat="false" ht="15" hidden="false" customHeight="false" outlineLevel="0" collapsed="false">
      <c r="A357" s="23" t="n">
        <v>356</v>
      </c>
      <c r="B357" s="23" t="s">
        <v>72</v>
      </c>
      <c r="C357" s="41" t="s">
        <v>42</v>
      </c>
      <c r="D357" s="124" t="s">
        <v>441</v>
      </c>
      <c r="E357" s="124" t="s">
        <v>442</v>
      </c>
      <c r="F357" s="23" t="n">
        <v>323</v>
      </c>
      <c r="G357" s="161" t="s">
        <v>1364</v>
      </c>
      <c r="H357" s="170" t="s">
        <v>9</v>
      </c>
      <c r="I357" s="163" t="s">
        <v>13</v>
      </c>
      <c r="J357" s="164" t="s">
        <v>649</v>
      </c>
      <c r="K357" s="23" t="s">
        <v>672</v>
      </c>
      <c r="L357" s="165" t="s">
        <v>1365</v>
      </c>
      <c r="M357" s="166" t="s">
        <v>656</v>
      </c>
      <c r="N357" s="167"/>
      <c r="O357" s="166" t="n">
        <v>0</v>
      </c>
      <c r="P357" s="168" t="str">
        <f aca="false">IF(N357="","",N357+CHOOSE(MIN(O357,3)+1,3,7,21,45))</f>
        <v/>
      </c>
      <c r="Q357" s="166"/>
      <c r="R357" s="169"/>
    </row>
    <row r="358" customFormat="false" ht="15" hidden="false" customHeight="false" outlineLevel="0" collapsed="false">
      <c r="A358" s="23" t="n">
        <v>357</v>
      </c>
      <c r="B358" s="23" t="s">
        <v>72</v>
      </c>
      <c r="C358" s="41" t="s">
        <v>42</v>
      </c>
      <c r="D358" s="124" t="s">
        <v>441</v>
      </c>
      <c r="E358" s="124" t="s">
        <v>442</v>
      </c>
      <c r="F358" s="23" t="n">
        <v>1466</v>
      </c>
      <c r="G358" s="161" t="s">
        <v>1366</v>
      </c>
      <c r="H358" s="170" t="s">
        <v>9</v>
      </c>
      <c r="I358" s="171" t="s">
        <v>653</v>
      </c>
      <c r="J358" s="172" t="s">
        <v>654</v>
      </c>
      <c r="K358" s="23"/>
      <c r="L358" s="165" t="s">
        <v>1367</v>
      </c>
      <c r="M358" s="166" t="s">
        <v>656</v>
      </c>
      <c r="N358" s="167"/>
      <c r="O358" s="166" t="n">
        <v>0</v>
      </c>
      <c r="P358" s="168" t="str">
        <f aca="false">IF(N358="","",N358+CHOOSE(MIN(O358,3)+1,3,7,21,45))</f>
        <v/>
      </c>
      <c r="Q358" s="166"/>
      <c r="R358" s="169"/>
    </row>
    <row r="359" customFormat="false" ht="15" hidden="false" customHeight="false" outlineLevel="0" collapsed="false">
      <c r="A359" s="23" t="n">
        <v>358</v>
      </c>
      <c r="B359" s="23" t="s">
        <v>72</v>
      </c>
      <c r="C359" s="41" t="s">
        <v>42</v>
      </c>
      <c r="D359" s="124" t="s">
        <v>441</v>
      </c>
      <c r="E359" s="124" t="s">
        <v>442</v>
      </c>
      <c r="F359" s="23" t="n">
        <v>399</v>
      </c>
      <c r="G359" s="161" t="s">
        <v>1368</v>
      </c>
      <c r="H359" s="170" t="s">
        <v>9</v>
      </c>
      <c r="I359" s="176" t="s">
        <v>15</v>
      </c>
      <c r="J359" s="174" t="s">
        <v>669</v>
      </c>
      <c r="K359" s="23"/>
      <c r="L359" s="165" t="s">
        <v>1369</v>
      </c>
      <c r="M359" s="166" t="s">
        <v>656</v>
      </c>
      <c r="N359" s="167"/>
      <c r="O359" s="166" t="n">
        <v>0</v>
      </c>
      <c r="P359" s="168" t="str">
        <f aca="false">IF(N359="","",N359+CHOOSE(MIN(O359,3)+1,3,7,21,45))</f>
        <v/>
      </c>
      <c r="Q359" s="166"/>
      <c r="R359" s="169"/>
    </row>
    <row r="360" customFormat="false" ht="15" hidden="false" customHeight="false" outlineLevel="0" collapsed="false">
      <c r="A360" s="23" t="n">
        <v>359</v>
      </c>
      <c r="B360" s="23" t="s">
        <v>72</v>
      </c>
      <c r="C360" s="41" t="s">
        <v>42</v>
      </c>
      <c r="D360" s="124" t="s">
        <v>441</v>
      </c>
      <c r="E360" s="124" t="s">
        <v>446</v>
      </c>
      <c r="F360" s="23" t="n">
        <v>1091</v>
      </c>
      <c r="G360" s="161" t="s">
        <v>1370</v>
      </c>
      <c r="H360" s="170" t="s">
        <v>9</v>
      </c>
      <c r="I360" s="171" t="s">
        <v>653</v>
      </c>
      <c r="J360" s="172" t="s">
        <v>654</v>
      </c>
      <c r="K360" s="23"/>
      <c r="L360" s="165" t="s">
        <v>1371</v>
      </c>
      <c r="M360" s="166" t="s">
        <v>656</v>
      </c>
      <c r="N360" s="167"/>
      <c r="O360" s="166" t="n">
        <v>0</v>
      </c>
      <c r="P360" s="168" t="str">
        <f aca="false">IF(N360="","",N360+CHOOSE(MIN(O360,3)+1,3,7,21,45))</f>
        <v/>
      </c>
      <c r="Q360" s="166"/>
      <c r="R360" s="169"/>
    </row>
    <row r="361" customFormat="false" ht="15" hidden="false" customHeight="false" outlineLevel="0" collapsed="false">
      <c r="A361" s="23" t="n">
        <v>360</v>
      </c>
      <c r="B361" s="23" t="s">
        <v>72</v>
      </c>
      <c r="C361" s="41" t="s">
        <v>42</v>
      </c>
      <c r="D361" s="124" t="s">
        <v>441</v>
      </c>
      <c r="E361" s="124" t="s">
        <v>446</v>
      </c>
      <c r="F361" s="23" t="n">
        <v>1926</v>
      </c>
      <c r="G361" s="161" t="s">
        <v>1372</v>
      </c>
      <c r="H361" s="170" t="s">
        <v>9</v>
      </c>
      <c r="I361" s="171" t="s">
        <v>653</v>
      </c>
      <c r="J361" s="172" t="s">
        <v>654</v>
      </c>
      <c r="K361" s="23"/>
      <c r="L361" s="165" t="s">
        <v>1373</v>
      </c>
      <c r="M361" s="166" t="s">
        <v>656</v>
      </c>
      <c r="N361" s="167"/>
      <c r="O361" s="166" t="n">
        <v>0</v>
      </c>
      <c r="P361" s="168" t="str">
        <f aca="false">IF(N361="","",N361+CHOOSE(MIN(O361,3)+1,3,7,21,45))</f>
        <v/>
      </c>
      <c r="Q361" s="166"/>
      <c r="R361" s="169"/>
    </row>
    <row r="362" customFormat="false" ht="15" hidden="false" customHeight="false" outlineLevel="0" collapsed="false">
      <c r="A362" s="23" t="n">
        <v>361</v>
      </c>
      <c r="B362" s="23" t="s">
        <v>72</v>
      </c>
      <c r="C362" s="41" t="s">
        <v>42</v>
      </c>
      <c r="D362" s="124" t="s">
        <v>441</v>
      </c>
      <c r="E362" s="124" t="s">
        <v>446</v>
      </c>
      <c r="F362" s="23" t="n">
        <v>752</v>
      </c>
      <c r="G362" s="161" t="s">
        <v>1374</v>
      </c>
      <c r="H362" s="170" t="s">
        <v>9</v>
      </c>
      <c r="I362" s="171" t="s">
        <v>653</v>
      </c>
      <c r="J362" s="172" t="s">
        <v>654</v>
      </c>
      <c r="K362" s="23"/>
      <c r="L362" s="165" t="s">
        <v>1375</v>
      </c>
      <c r="M362" s="166" t="s">
        <v>656</v>
      </c>
      <c r="N362" s="167"/>
      <c r="O362" s="166" t="n">
        <v>0</v>
      </c>
      <c r="P362" s="168" t="str">
        <f aca="false">IF(N362="","",N362+CHOOSE(MIN(O362,3)+1,3,7,21,45))</f>
        <v/>
      </c>
      <c r="Q362" s="166"/>
      <c r="R362" s="169"/>
    </row>
    <row r="363" customFormat="false" ht="15" hidden="false" customHeight="false" outlineLevel="0" collapsed="false">
      <c r="A363" s="23" t="n">
        <v>362</v>
      </c>
      <c r="B363" s="23" t="s">
        <v>72</v>
      </c>
      <c r="C363" s="41" t="s">
        <v>42</v>
      </c>
      <c r="D363" s="124" t="s">
        <v>441</v>
      </c>
      <c r="E363" s="124" t="s">
        <v>446</v>
      </c>
      <c r="F363" s="23" t="n">
        <v>433</v>
      </c>
      <c r="G363" s="161" t="s">
        <v>1376</v>
      </c>
      <c r="H363" s="170" t="s">
        <v>9</v>
      </c>
      <c r="I363" s="171" t="s">
        <v>653</v>
      </c>
      <c r="J363" s="172" t="s">
        <v>654</v>
      </c>
      <c r="K363" s="23"/>
      <c r="L363" s="165" t="s">
        <v>1377</v>
      </c>
      <c r="M363" s="166" t="s">
        <v>656</v>
      </c>
      <c r="N363" s="167"/>
      <c r="O363" s="166" t="n">
        <v>0</v>
      </c>
      <c r="P363" s="168" t="str">
        <f aca="false">IF(N363="","",N363+CHOOSE(MIN(O363,3)+1,3,7,21,45))</f>
        <v/>
      </c>
      <c r="Q363" s="166"/>
      <c r="R363" s="169"/>
    </row>
    <row r="364" customFormat="false" ht="15" hidden="false" customHeight="false" outlineLevel="0" collapsed="false">
      <c r="A364" s="23" t="n">
        <v>363</v>
      </c>
      <c r="B364" s="23" t="s">
        <v>72</v>
      </c>
      <c r="C364" s="41" t="s">
        <v>42</v>
      </c>
      <c r="D364" s="124" t="s">
        <v>441</v>
      </c>
      <c r="E364" s="124" t="s">
        <v>446</v>
      </c>
      <c r="F364" s="23" t="n">
        <v>909</v>
      </c>
      <c r="G364" s="161" t="s">
        <v>1378</v>
      </c>
      <c r="H364" s="170" t="s">
        <v>9</v>
      </c>
      <c r="I364" s="171" t="s">
        <v>653</v>
      </c>
      <c r="J364" s="172" t="s">
        <v>654</v>
      </c>
      <c r="K364" s="23"/>
      <c r="L364" s="165" t="s">
        <v>1379</v>
      </c>
      <c r="M364" s="166" t="s">
        <v>656</v>
      </c>
      <c r="N364" s="167"/>
      <c r="O364" s="166" t="n">
        <v>0</v>
      </c>
      <c r="P364" s="168" t="str">
        <f aca="false">IF(N364="","",N364+CHOOSE(MIN(O364,3)+1,3,7,21,45))</f>
        <v/>
      </c>
      <c r="Q364" s="166"/>
      <c r="R364" s="169"/>
    </row>
    <row r="365" customFormat="false" ht="15" hidden="false" customHeight="false" outlineLevel="0" collapsed="false">
      <c r="A365" s="23" t="n">
        <v>364</v>
      </c>
      <c r="B365" s="23" t="s">
        <v>72</v>
      </c>
      <c r="C365" s="41" t="s">
        <v>42</v>
      </c>
      <c r="D365" s="124" t="s">
        <v>441</v>
      </c>
      <c r="E365" s="124" t="s">
        <v>446</v>
      </c>
      <c r="F365" s="23" t="n">
        <v>127</v>
      </c>
      <c r="G365" s="161" t="s">
        <v>1380</v>
      </c>
      <c r="H365" s="175" t="s">
        <v>11</v>
      </c>
      <c r="I365" s="173" t="s">
        <v>668</v>
      </c>
      <c r="J365" s="174" t="s">
        <v>669</v>
      </c>
      <c r="K365" s="23"/>
      <c r="L365" s="165" t="s">
        <v>1381</v>
      </c>
      <c r="M365" s="166" t="s">
        <v>656</v>
      </c>
      <c r="N365" s="167"/>
      <c r="O365" s="166" t="n">
        <v>0</v>
      </c>
      <c r="P365" s="168" t="str">
        <f aca="false">IF(N365="","",N365+CHOOSE(MIN(O365,3)+1,3,7,21,45))</f>
        <v/>
      </c>
      <c r="Q365" s="166"/>
      <c r="R365" s="169"/>
    </row>
    <row r="366" customFormat="false" ht="15" hidden="false" customHeight="false" outlineLevel="0" collapsed="false">
      <c r="A366" s="23" t="n">
        <v>365</v>
      </c>
      <c r="B366" s="23" t="s">
        <v>72</v>
      </c>
      <c r="C366" s="41" t="s">
        <v>42</v>
      </c>
      <c r="D366" s="124" t="s">
        <v>441</v>
      </c>
      <c r="E366" s="124" t="s">
        <v>446</v>
      </c>
      <c r="F366" s="23" t="n">
        <v>815</v>
      </c>
      <c r="G366" s="161" t="s">
        <v>1382</v>
      </c>
      <c r="H366" s="175" t="s">
        <v>11</v>
      </c>
      <c r="I366" s="171" t="s">
        <v>653</v>
      </c>
      <c r="J366" s="172" t="s">
        <v>654</v>
      </c>
      <c r="K366" s="23"/>
      <c r="L366" s="165" t="s">
        <v>1383</v>
      </c>
      <c r="M366" s="166" t="s">
        <v>656</v>
      </c>
      <c r="N366" s="167"/>
      <c r="O366" s="166" t="n">
        <v>0</v>
      </c>
      <c r="P366" s="168" t="str">
        <f aca="false">IF(N366="","",N366+CHOOSE(MIN(O366,3)+1,3,7,21,45))</f>
        <v/>
      </c>
      <c r="Q366" s="166"/>
      <c r="R366" s="169"/>
    </row>
    <row r="367" customFormat="false" ht="15" hidden="false" customHeight="false" outlineLevel="0" collapsed="false">
      <c r="A367" s="23" t="n">
        <v>366</v>
      </c>
      <c r="B367" s="23" t="s">
        <v>72</v>
      </c>
      <c r="C367" s="41" t="s">
        <v>42</v>
      </c>
      <c r="D367" s="124" t="s">
        <v>441</v>
      </c>
      <c r="E367" s="124" t="s">
        <v>449</v>
      </c>
      <c r="F367" s="23" t="n">
        <v>261</v>
      </c>
      <c r="G367" s="161" t="s">
        <v>1384</v>
      </c>
      <c r="H367" s="170" t="s">
        <v>9</v>
      </c>
      <c r="I367" s="163" t="s">
        <v>13</v>
      </c>
      <c r="J367" s="164" t="s">
        <v>649</v>
      </c>
      <c r="K367" s="23" t="s">
        <v>672</v>
      </c>
      <c r="L367" s="165" t="s">
        <v>1385</v>
      </c>
      <c r="M367" s="166" t="s">
        <v>656</v>
      </c>
      <c r="N367" s="167"/>
      <c r="O367" s="166" t="n">
        <v>0</v>
      </c>
      <c r="P367" s="168" t="str">
        <f aca="false">IF(N367="","",N367+CHOOSE(MIN(O367,3)+1,3,7,21,45))</f>
        <v/>
      </c>
      <c r="Q367" s="166"/>
      <c r="R367" s="169"/>
    </row>
    <row r="368" customFormat="false" ht="15" hidden="false" customHeight="false" outlineLevel="0" collapsed="false">
      <c r="A368" s="23" t="n">
        <v>367</v>
      </c>
      <c r="B368" s="23" t="s">
        <v>72</v>
      </c>
      <c r="C368" s="41" t="s">
        <v>42</v>
      </c>
      <c r="D368" s="124" t="s">
        <v>441</v>
      </c>
      <c r="E368" s="124" t="s">
        <v>449</v>
      </c>
      <c r="F368" s="23" t="n">
        <v>802</v>
      </c>
      <c r="G368" s="161" t="s">
        <v>1386</v>
      </c>
      <c r="H368" s="170" t="s">
        <v>9</v>
      </c>
      <c r="I368" s="171" t="s">
        <v>653</v>
      </c>
      <c r="J368" s="172" t="s">
        <v>654</v>
      </c>
      <c r="K368" s="23"/>
      <c r="L368" s="165" t="s">
        <v>1387</v>
      </c>
      <c r="M368" s="166" t="s">
        <v>656</v>
      </c>
      <c r="N368" s="167"/>
      <c r="O368" s="166" t="n">
        <v>0</v>
      </c>
      <c r="P368" s="168" t="str">
        <f aca="false">IF(N368="","",N368+CHOOSE(MIN(O368,3)+1,3,7,21,45))</f>
        <v/>
      </c>
      <c r="Q368" s="166"/>
      <c r="R368" s="169"/>
    </row>
    <row r="369" customFormat="false" ht="15" hidden="false" customHeight="false" outlineLevel="0" collapsed="false">
      <c r="A369" s="23" t="n">
        <v>368</v>
      </c>
      <c r="B369" s="23" t="s">
        <v>72</v>
      </c>
      <c r="C369" s="41" t="s">
        <v>42</v>
      </c>
      <c r="D369" s="124" t="s">
        <v>441</v>
      </c>
      <c r="E369" s="124" t="s">
        <v>449</v>
      </c>
      <c r="F369" s="23" t="n">
        <v>785</v>
      </c>
      <c r="G369" s="161" t="s">
        <v>1388</v>
      </c>
      <c r="H369" s="170" t="s">
        <v>9</v>
      </c>
      <c r="I369" s="176" t="s">
        <v>15</v>
      </c>
      <c r="J369" s="174" t="s">
        <v>669</v>
      </c>
      <c r="K369" s="23"/>
      <c r="L369" s="165" t="s">
        <v>1389</v>
      </c>
      <c r="M369" s="166" t="s">
        <v>656</v>
      </c>
      <c r="N369" s="167"/>
      <c r="O369" s="166" t="n">
        <v>0</v>
      </c>
      <c r="P369" s="168" t="str">
        <f aca="false">IF(N369="","",N369+CHOOSE(MIN(O369,3)+1,3,7,21,45))</f>
        <v/>
      </c>
      <c r="Q369" s="166"/>
      <c r="R369" s="169"/>
    </row>
    <row r="370" customFormat="false" ht="15" hidden="false" customHeight="false" outlineLevel="0" collapsed="false">
      <c r="A370" s="23" t="n">
        <v>369</v>
      </c>
      <c r="B370" s="23" t="s">
        <v>72</v>
      </c>
      <c r="C370" s="41" t="s">
        <v>42</v>
      </c>
      <c r="D370" s="124" t="s">
        <v>441</v>
      </c>
      <c r="E370" s="124" t="s">
        <v>449</v>
      </c>
      <c r="F370" s="23" t="n">
        <v>886</v>
      </c>
      <c r="G370" s="161" t="s">
        <v>1390</v>
      </c>
      <c r="H370" s="170" t="s">
        <v>9</v>
      </c>
      <c r="I370" s="171" t="s">
        <v>653</v>
      </c>
      <c r="J370" s="172" t="s">
        <v>654</v>
      </c>
      <c r="K370" s="23"/>
      <c r="L370" s="165" t="s">
        <v>1391</v>
      </c>
      <c r="M370" s="166" t="s">
        <v>656</v>
      </c>
      <c r="N370" s="167"/>
      <c r="O370" s="166" t="n">
        <v>0</v>
      </c>
      <c r="P370" s="168" t="str">
        <f aca="false">IF(N370="","",N370+CHOOSE(MIN(O370,3)+1,3,7,21,45))</f>
        <v/>
      </c>
      <c r="Q370" s="166"/>
      <c r="R370" s="169"/>
    </row>
    <row r="371" customFormat="false" ht="15" hidden="false" customHeight="false" outlineLevel="0" collapsed="false">
      <c r="A371" s="23" t="n">
        <v>370</v>
      </c>
      <c r="B371" s="23" t="s">
        <v>72</v>
      </c>
      <c r="C371" s="41" t="s">
        <v>42</v>
      </c>
      <c r="D371" s="124" t="s">
        <v>452</v>
      </c>
      <c r="E371" s="124" t="s">
        <v>453</v>
      </c>
      <c r="F371" s="23" t="n">
        <v>207</v>
      </c>
      <c r="G371" s="161" t="s">
        <v>1392</v>
      </c>
      <c r="H371" s="170" t="s">
        <v>9</v>
      </c>
      <c r="I371" s="163" t="s">
        <v>13</v>
      </c>
      <c r="J371" s="164" t="s">
        <v>649</v>
      </c>
      <c r="K371" s="23"/>
      <c r="L371" s="165" t="s">
        <v>1393</v>
      </c>
      <c r="M371" s="166" t="s">
        <v>656</v>
      </c>
      <c r="N371" s="167"/>
      <c r="O371" s="166" t="n">
        <v>0</v>
      </c>
      <c r="P371" s="168" t="str">
        <f aca="false">IF(N371="","",N371+CHOOSE(MIN(O371,3)+1,3,7,21,45))</f>
        <v/>
      </c>
      <c r="Q371" s="166"/>
      <c r="R371" s="169"/>
    </row>
    <row r="372" customFormat="false" ht="15" hidden="false" customHeight="false" outlineLevel="0" collapsed="false">
      <c r="A372" s="23" t="n">
        <v>371</v>
      </c>
      <c r="B372" s="23" t="s">
        <v>72</v>
      </c>
      <c r="C372" s="41" t="s">
        <v>42</v>
      </c>
      <c r="D372" s="124" t="s">
        <v>452</v>
      </c>
      <c r="E372" s="124" t="s">
        <v>453</v>
      </c>
      <c r="F372" s="23" t="n">
        <v>210</v>
      </c>
      <c r="G372" s="161" t="s">
        <v>1394</v>
      </c>
      <c r="H372" s="170" t="s">
        <v>9</v>
      </c>
      <c r="I372" s="173" t="s">
        <v>668</v>
      </c>
      <c r="J372" s="174" t="s">
        <v>669</v>
      </c>
      <c r="K372" s="23"/>
      <c r="L372" s="165" t="s">
        <v>1395</v>
      </c>
      <c r="M372" s="166" t="s">
        <v>656</v>
      </c>
      <c r="N372" s="167"/>
      <c r="O372" s="166" t="n">
        <v>0</v>
      </c>
      <c r="P372" s="168" t="str">
        <f aca="false">IF(N372="","",N372+CHOOSE(MIN(O372,3)+1,3,7,21,45))</f>
        <v/>
      </c>
      <c r="Q372" s="166"/>
      <c r="R372" s="169"/>
    </row>
    <row r="373" customFormat="false" ht="15" hidden="false" customHeight="false" outlineLevel="0" collapsed="false">
      <c r="A373" s="23" t="n">
        <v>372</v>
      </c>
      <c r="B373" s="23" t="s">
        <v>72</v>
      </c>
      <c r="C373" s="41" t="s">
        <v>42</v>
      </c>
      <c r="D373" s="124" t="s">
        <v>452</v>
      </c>
      <c r="E373" s="124" t="s">
        <v>453</v>
      </c>
      <c r="F373" s="23" t="n">
        <v>310</v>
      </c>
      <c r="G373" s="161" t="s">
        <v>1396</v>
      </c>
      <c r="H373" s="170" t="s">
        <v>9</v>
      </c>
      <c r="I373" s="171" t="s">
        <v>653</v>
      </c>
      <c r="J373" s="172" t="s">
        <v>654</v>
      </c>
      <c r="K373" s="23"/>
      <c r="L373" s="165" t="s">
        <v>1397</v>
      </c>
      <c r="M373" s="166" t="s">
        <v>656</v>
      </c>
      <c r="N373" s="167"/>
      <c r="O373" s="166" t="n">
        <v>0</v>
      </c>
      <c r="P373" s="168" t="str">
        <f aca="false">IF(N373="","",N373+CHOOSE(MIN(O373,3)+1,3,7,21,45))</f>
        <v/>
      </c>
      <c r="Q373" s="166"/>
      <c r="R373" s="169"/>
    </row>
    <row r="374" customFormat="false" ht="15" hidden="false" customHeight="false" outlineLevel="0" collapsed="false">
      <c r="A374" s="23" t="n">
        <v>373</v>
      </c>
      <c r="B374" s="23" t="s">
        <v>72</v>
      </c>
      <c r="C374" s="41" t="s">
        <v>42</v>
      </c>
      <c r="D374" s="124" t="s">
        <v>452</v>
      </c>
      <c r="E374" s="124" t="s">
        <v>453</v>
      </c>
      <c r="F374" s="23" t="n">
        <v>2115</v>
      </c>
      <c r="G374" s="161" t="s">
        <v>1398</v>
      </c>
      <c r="H374" s="170" t="s">
        <v>9</v>
      </c>
      <c r="I374" s="171" t="s">
        <v>653</v>
      </c>
      <c r="J374" s="172" t="s">
        <v>654</v>
      </c>
      <c r="K374" s="23"/>
      <c r="L374" s="165" t="s">
        <v>1399</v>
      </c>
      <c r="M374" s="166" t="s">
        <v>656</v>
      </c>
      <c r="N374" s="167"/>
      <c r="O374" s="166" t="n">
        <v>0</v>
      </c>
      <c r="P374" s="168" t="str">
        <f aca="false">IF(N374="","",N374+CHOOSE(MIN(O374,3)+1,3,7,21,45))</f>
        <v/>
      </c>
      <c r="Q374" s="166"/>
      <c r="R374" s="169"/>
    </row>
    <row r="375" customFormat="false" ht="15" hidden="false" customHeight="false" outlineLevel="0" collapsed="false">
      <c r="A375" s="23" t="n">
        <v>374</v>
      </c>
      <c r="B375" s="23" t="s">
        <v>72</v>
      </c>
      <c r="C375" s="41" t="s">
        <v>42</v>
      </c>
      <c r="D375" s="124" t="s">
        <v>452</v>
      </c>
      <c r="E375" s="124" t="s">
        <v>453</v>
      </c>
      <c r="F375" s="23" t="n">
        <v>269</v>
      </c>
      <c r="G375" s="161" t="s">
        <v>1400</v>
      </c>
      <c r="H375" s="175" t="s">
        <v>11</v>
      </c>
      <c r="I375" s="163" t="s">
        <v>13</v>
      </c>
      <c r="J375" s="164" t="s">
        <v>649</v>
      </c>
      <c r="K375" s="23" t="s">
        <v>672</v>
      </c>
      <c r="L375" s="165" t="s">
        <v>1401</v>
      </c>
      <c r="M375" s="166" t="s">
        <v>656</v>
      </c>
      <c r="N375" s="167"/>
      <c r="O375" s="166" t="n">
        <v>0</v>
      </c>
      <c r="P375" s="168" t="str">
        <f aca="false">IF(N375="","",N375+CHOOSE(MIN(O375,3)+1,3,7,21,45))</f>
        <v/>
      </c>
      <c r="Q375" s="166"/>
      <c r="R375" s="169"/>
    </row>
    <row r="376" customFormat="false" ht="15" hidden="false" customHeight="false" outlineLevel="0" collapsed="false">
      <c r="A376" s="23" t="n">
        <v>375</v>
      </c>
      <c r="B376" s="23" t="s">
        <v>74</v>
      </c>
      <c r="C376" s="41" t="s">
        <v>42</v>
      </c>
      <c r="D376" s="124" t="s">
        <v>456</v>
      </c>
      <c r="E376" s="124" t="s">
        <v>457</v>
      </c>
      <c r="F376" s="23" t="n">
        <v>684</v>
      </c>
      <c r="G376" s="161" t="s">
        <v>1402</v>
      </c>
      <c r="H376" s="170" t="s">
        <v>9</v>
      </c>
      <c r="I376" s="173" t="s">
        <v>668</v>
      </c>
      <c r="J376" s="174" t="s">
        <v>669</v>
      </c>
      <c r="K376" s="23"/>
      <c r="L376" s="165" t="s">
        <v>1403</v>
      </c>
      <c r="M376" s="166" t="s">
        <v>656</v>
      </c>
      <c r="N376" s="167"/>
      <c r="O376" s="166" t="n">
        <v>0</v>
      </c>
      <c r="P376" s="168" t="str">
        <f aca="false">IF(N376="","",N376+CHOOSE(MIN(O376,3)+1,3,7,21,45))</f>
        <v/>
      </c>
      <c r="Q376" s="166"/>
      <c r="R376" s="169"/>
    </row>
    <row r="377" customFormat="false" ht="15" hidden="false" customHeight="false" outlineLevel="0" collapsed="false">
      <c r="A377" s="23" t="n">
        <v>376</v>
      </c>
      <c r="B377" s="23" t="s">
        <v>74</v>
      </c>
      <c r="C377" s="41" t="s">
        <v>42</v>
      </c>
      <c r="D377" s="124" t="s">
        <v>456</v>
      </c>
      <c r="E377" s="124" t="s">
        <v>457</v>
      </c>
      <c r="F377" s="23" t="n">
        <v>721</v>
      </c>
      <c r="G377" s="161" t="s">
        <v>1404</v>
      </c>
      <c r="H377" s="170" t="s">
        <v>9</v>
      </c>
      <c r="I377" s="176" t="s">
        <v>15</v>
      </c>
      <c r="J377" s="174" t="s">
        <v>669</v>
      </c>
      <c r="K377" s="23"/>
      <c r="L377" s="165" t="s">
        <v>1405</v>
      </c>
      <c r="M377" s="166" t="s">
        <v>656</v>
      </c>
      <c r="N377" s="167"/>
      <c r="O377" s="166" t="n">
        <v>0</v>
      </c>
      <c r="P377" s="168" t="str">
        <f aca="false">IF(N377="","",N377+CHOOSE(MIN(O377,3)+1,3,7,21,45))</f>
        <v/>
      </c>
      <c r="Q377" s="166"/>
      <c r="R377" s="169"/>
    </row>
    <row r="378" customFormat="false" ht="15" hidden="false" customHeight="false" outlineLevel="0" collapsed="false">
      <c r="A378" s="23" t="n">
        <v>377</v>
      </c>
      <c r="B378" s="23" t="s">
        <v>74</v>
      </c>
      <c r="C378" s="41" t="s">
        <v>42</v>
      </c>
      <c r="D378" s="124" t="s">
        <v>456</v>
      </c>
      <c r="E378" s="124" t="s">
        <v>457</v>
      </c>
      <c r="F378" s="23" t="n">
        <v>1319</v>
      </c>
      <c r="G378" s="161" t="s">
        <v>1406</v>
      </c>
      <c r="H378" s="170" t="s">
        <v>9</v>
      </c>
      <c r="I378" s="171" t="s">
        <v>653</v>
      </c>
      <c r="J378" s="172" t="s">
        <v>654</v>
      </c>
      <c r="K378" s="23"/>
      <c r="L378" s="165" t="s">
        <v>1407</v>
      </c>
      <c r="M378" s="166" t="s">
        <v>656</v>
      </c>
      <c r="N378" s="167"/>
      <c r="O378" s="166" t="n">
        <v>0</v>
      </c>
      <c r="P378" s="168" t="str">
        <f aca="false">IF(N378="","",N378+CHOOSE(MIN(O378,3)+1,3,7,21,45))</f>
        <v/>
      </c>
      <c r="Q378" s="166"/>
      <c r="R378" s="169"/>
    </row>
    <row r="379" customFormat="false" ht="15" hidden="false" customHeight="false" outlineLevel="0" collapsed="false">
      <c r="A379" s="23" t="n">
        <v>378</v>
      </c>
      <c r="B379" s="23" t="s">
        <v>74</v>
      </c>
      <c r="C379" s="41" t="s">
        <v>42</v>
      </c>
      <c r="D379" s="124" t="s">
        <v>456</v>
      </c>
      <c r="E379" s="124" t="s">
        <v>457</v>
      </c>
      <c r="F379" s="23" t="n">
        <v>990</v>
      </c>
      <c r="G379" s="161" t="s">
        <v>1408</v>
      </c>
      <c r="H379" s="170" t="s">
        <v>9</v>
      </c>
      <c r="I379" s="171" t="s">
        <v>653</v>
      </c>
      <c r="J379" s="172" t="s">
        <v>654</v>
      </c>
      <c r="K379" s="23"/>
      <c r="L379" s="165" t="s">
        <v>1409</v>
      </c>
      <c r="M379" s="166" t="s">
        <v>656</v>
      </c>
      <c r="N379" s="167"/>
      <c r="O379" s="166" t="n">
        <v>0</v>
      </c>
      <c r="P379" s="168" t="str">
        <f aca="false">IF(N379="","",N379+CHOOSE(MIN(O379,3)+1,3,7,21,45))</f>
        <v/>
      </c>
      <c r="Q379" s="166"/>
      <c r="R379" s="169"/>
    </row>
    <row r="380" customFormat="false" ht="15" hidden="false" customHeight="false" outlineLevel="0" collapsed="false">
      <c r="A380" s="23" t="n">
        <v>379</v>
      </c>
      <c r="B380" s="23" t="s">
        <v>74</v>
      </c>
      <c r="C380" s="41" t="s">
        <v>42</v>
      </c>
      <c r="D380" s="124" t="s">
        <v>456</v>
      </c>
      <c r="E380" s="124" t="s">
        <v>457</v>
      </c>
      <c r="F380" s="23" t="n">
        <v>947</v>
      </c>
      <c r="G380" s="161" t="s">
        <v>1410</v>
      </c>
      <c r="H380" s="170" t="s">
        <v>9</v>
      </c>
      <c r="I380" s="171" t="s">
        <v>653</v>
      </c>
      <c r="J380" s="172" t="s">
        <v>654</v>
      </c>
      <c r="K380" s="23"/>
      <c r="L380" s="165" t="s">
        <v>1411</v>
      </c>
      <c r="M380" s="166" t="s">
        <v>656</v>
      </c>
      <c r="N380" s="167"/>
      <c r="O380" s="166" t="n">
        <v>0</v>
      </c>
      <c r="P380" s="168" t="str">
        <f aca="false">IF(N380="","",N380+CHOOSE(MIN(O380,3)+1,3,7,21,45))</f>
        <v/>
      </c>
      <c r="Q380" s="166"/>
      <c r="R380" s="169"/>
    </row>
    <row r="381" customFormat="false" ht="15" hidden="false" customHeight="false" outlineLevel="0" collapsed="false">
      <c r="A381" s="23" t="n">
        <v>380</v>
      </c>
      <c r="B381" s="23" t="s">
        <v>74</v>
      </c>
      <c r="C381" s="41" t="s">
        <v>42</v>
      </c>
      <c r="D381" s="124" t="s">
        <v>456</v>
      </c>
      <c r="E381" s="124" t="s">
        <v>457</v>
      </c>
      <c r="F381" s="23" t="n">
        <v>1579</v>
      </c>
      <c r="G381" s="161" t="s">
        <v>1412</v>
      </c>
      <c r="H381" s="175" t="s">
        <v>11</v>
      </c>
      <c r="I381" s="171" t="s">
        <v>653</v>
      </c>
      <c r="J381" s="172" t="s">
        <v>654</v>
      </c>
      <c r="K381" s="23"/>
      <c r="L381" s="165" t="s">
        <v>1413</v>
      </c>
      <c r="M381" s="166" t="s">
        <v>656</v>
      </c>
      <c r="N381" s="167"/>
      <c r="O381" s="166" t="n">
        <v>0</v>
      </c>
      <c r="P381" s="168" t="str">
        <f aca="false">IF(N381="","",N381+CHOOSE(MIN(O381,3)+1,3,7,21,45))</f>
        <v/>
      </c>
      <c r="Q381" s="166"/>
      <c r="R381" s="169"/>
    </row>
    <row r="382" customFormat="false" ht="15" hidden="false" customHeight="false" outlineLevel="0" collapsed="false">
      <c r="A382" s="23" t="n">
        <v>381</v>
      </c>
      <c r="B382" s="23" t="s">
        <v>74</v>
      </c>
      <c r="C382" s="41" t="s">
        <v>42</v>
      </c>
      <c r="D382" s="124" t="s">
        <v>461</v>
      </c>
      <c r="E382" s="124" t="s">
        <v>462</v>
      </c>
      <c r="F382" s="23" t="n">
        <v>743</v>
      </c>
      <c r="G382" s="161" t="s">
        <v>1414</v>
      </c>
      <c r="H382" s="170" t="s">
        <v>9</v>
      </c>
      <c r="I382" s="173" t="s">
        <v>668</v>
      </c>
      <c r="J382" s="174" t="s">
        <v>669</v>
      </c>
      <c r="K382" s="23"/>
      <c r="L382" s="165" t="s">
        <v>1415</v>
      </c>
      <c r="M382" s="166" t="s">
        <v>656</v>
      </c>
      <c r="N382" s="167"/>
      <c r="O382" s="166" t="n">
        <v>0</v>
      </c>
      <c r="P382" s="168" t="str">
        <f aca="false">IF(N382="","",N382+CHOOSE(MIN(O382,3)+1,3,7,21,45))</f>
        <v/>
      </c>
      <c r="Q382" s="166"/>
      <c r="R382" s="169"/>
    </row>
    <row r="383" customFormat="false" ht="15" hidden="false" customHeight="false" outlineLevel="0" collapsed="false">
      <c r="A383" s="23" t="n">
        <v>382</v>
      </c>
      <c r="B383" s="23" t="s">
        <v>74</v>
      </c>
      <c r="C383" s="41" t="s">
        <v>42</v>
      </c>
      <c r="D383" s="124" t="s">
        <v>461</v>
      </c>
      <c r="E383" s="124" t="s">
        <v>462</v>
      </c>
      <c r="F383" s="23" t="n">
        <v>1514</v>
      </c>
      <c r="G383" s="161" t="s">
        <v>1416</v>
      </c>
      <c r="H383" s="170" t="s">
        <v>9</v>
      </c>
      <c r="I383" s="171" t="s">
        <v>653</v>
      </c>
      <c r="J383" s="172" t="s">
        <v>654</v>
      </c>
      <c r="K383" s="23"/>
      <c r="L383" s="165" t="s">
        <v>1417</v>
      </c>
      <c r="M383" s="166" t="s">
        <v>656</v>
      </c>
      <c r="N383" s="167"/>
      <c r="O383" s="166" t="n">
        <v>0</v>
      </c>
      <c r="P383" s="168" t="str">
        <f aca="false">IF(N383="","",N383+CHOOSE(MIN(O383,3)+1,3,7,21,45))</f>
        <v/>
      </c>
      <c r="Q383" s="166"/>
      <c r="R383" s="169"/>
    </row>
    <row r="384" customFormat="false" ht="15" hidden="false" customHeight="false" outlineLevel="0" collapsed="false">
      <c r="A384" s="23" t="n">
        <v>383</v>
      </c>
      <c r="B384" s="23" t="s">
        <v>74</v>
      </c>
      <c r="C384" s="41" t="s">
        <v>42</v>
      </c>
      <c r="D384" s="124" t="s">
        <v>461</v>
      </c>
      <c r="E384" s="124" t="s">
        <v>462</v>
      </c>
      <c r="F384" s="23" t="n">
        <v>1631</v>
      </c>
      <c r="G384" s="161" t="s">
        <v>1418</v>
      </c>
      <c r="H384" s="170" t="s">
        <v>9</v>
      </c>
      <c r="I384" s="176" t="s">
        <v>15</v>
      </c>
      <c r="J384" s="174" t="s">
        <v>669</v>
      </c>
      <c r="K384" s="23"/>
      <c r="L384" s="165" t="s">
        <v>1419</v>
      </c>
      <c r="M384" s="166" t="s">
        <v>656</v>
      </c>
      <c r="N384" s="167"/>
      <c r="O384" s="166" t="n">
        <v>0</v>
      </c>
      <c r="P384" s="168" t="str">
        <f aca="false">IF(N384="","",N384+CHOOSE(MIN(O384,3)+1,3,7,21,45))</f>
        <v/>
      </c>
      <c r="Q384" s="166"/>
      <c r="R384" s="169"/>
    </row>
    <row r="385" customFormat="false" ht="15" hidden="false" customHeight="false" outlineLevel="0" collapsed="false">
      <c r="A385" s="23" t="n">
        <v>384</v>
      </c>
      <c r="B385" s="23" t="s">
        <v>74</v>
      </c>
      <c r="C385" s="41" t="s">
        <v>42</v>
      </c>
      <c r="D385" s="124" t="s">
        <v>461</v>
      </c>
      <c r="E385" s="124" t="s">
        <v>462</v>
      </c>
      <c r="F385" s="23" t="n">
        <v>1976</v>
      </c>
      <c r="G385" s="161" t="s">
        <v>1420</v>
      </c>
      <c r="H385" s="170" t="s">
        <v>9</v>
      </c>
      <c r="I385" s="171" t="s">
        <v>653</v>
      </c>
      <c r="J385" s="172" t="s">
        <v>654</v>
      </c>
      <c r="K385" s="23"/>
      <c r="L385" s="165" t="s">
        <v>1421</v>
      </c>
      <c r="M385" s="166" t="s">
        <v>656</v>
      </c>
      <c r="N385" s="167"/>
      <c r="O385" s="166" t="n">
        <v>0</v>
      </c>
      <c r="P385" s="168" t="str">
        <f aca="false">IF(N385="","",N385+CHOOSE(MIN(O385,3)+1,3,7,21,45))</f>
        <v/>
      </c>
      <c r="Q385" s="166"/>
      <c r="R385" s="169"/>
    </row>
    <row r="386" customFormat="false" ht="15" hidden="false" customHeight="false" outlineLevel="0" collapsed="false">
      <c r="A386" s="23" t="n">
        <v>385</v>
      </c>
      <c r="B386" s="23" t="s">
        <v>74</v>
      </c>
      <c r="C386" s="41" t="s">
        <v>42</v>
      </c>
      <c r="D386" s="124" t="s">
        <v>461</v>
      </c>
      <c r="E386" s="124" t="s">
        <v>462</v>
      </c>
      <c r="F386" s="23" t="n">
        <v>778</v>
      </c>
      <c r="G386" s="161" t="s">
        <v>1422</v>
      </c>
      <c r="H386" s="175" t="s">
        <v>11</v>
      </c>
      <c r="I386" s="173" t="s">
        <v>668</v>
      </c>
      <c r="J386" s="174" t="s">
        <v>669</v>
      </c>
      <c r="K386" s="23"/>
      <c r="L386" s="165" t="s">
        <v>1423</v>
      </c>
      <c r="M386" s="166" t="s">
        <v>656</v>
      </c>
      <c r="N386" s="167"/>
      <c r="O386" s="166" t="n">
        <v>0</v>
      </c>
      <c r="P386" s="168" t="str">
        <f aca="false">IF(N386="","",N386+CHOOSE(MIN(O386,3)+1,3,7,21,45))</f>
        <v/>
      </c>
      <c r="Q386" s="166"/>
      <c r="R386" s="169"/>
    </row>
    <row r="387" customFormat="false" ht="15" hidden="false" customHeight="false" outlineLevel="0" collapsed="false">
      <c r="A387" s="23" t="n">
        <v>386</v>
      </c>
      <c r="B387" s="23" t="s">
        <v>74</v>
      </c>
      <c r="C387" s="41" t="s">
        <v>42</v>
      </c>
      <c r="D387" s="124" t="s">
        <v>461</v>
      </c>
      <c r="E387" s="124" t="s">
        <v>466</v>
      </c>
      <c r="F387" s="23" t="n">
        <v>787</v>
      </c>
      <c r="G387" s="161" t="s">
        <v>1424</v>
      </c>
      <c r="H387" s="170" t="s">
        <v>9</v>
      </c>
      <c r="I387" s="173" t="s">
        <v>668</v>
      </c>
      <c r="J387" s="174" t="s">
        <v>669</v>
      </c>
      <c r="K387" s="23"/>
      <c r="L387" s="165" t="s">
        <v>1425</v>
      </c>
      <c r="M387" s="166" t="s">
        <v>656</v>
      </c>
      <c r="N387" s="167"/>
      <c r="O387" s="166" t="n">
        <v>0</v>
      </c>
      <c r="P387" s="168" t="str">
        <f aca="false">IF(N387="","",N387+CHOOSE(MIN(O387,3)+1,3,7,21,45))</f>
        <v/>
      </c>
      <c r="Q387" s="166"/>
      <c r="R387" s="169"/>
    </row>
    <row r="388" customFormat="false" ht="15" hidden="false" customHeight="false" outlineLevel="0" collapsed="false">
      <c r="A388" s="23" t="n">
        <v>387</v>
      </c>
      <c r="B388" s="23" t="s">
        <v>74</v>
      </c>
      <c r="C388" s="41" t="s">
        <v>42</v>
      </c>
      <c r="D388" s="124" t="s">
        <v>461</v>
      </c>
      <c r="E388" s="124" t="s">
        <v>470</v>
      </c>
      <c r="F388" s="23" t="n">
        <v>2290</v>
      </c>
      <c r="G388" s="161" t="s">
        <v>1426</v>
      </c>
      <c r="H388" s="175" t="s">
        <v>11</v>
      </c>
      <c r="I388" s="171" t="s">
        <v>653</v>
      </c>
      <c r="J388" s="172" t="s">
        <v>654</v>
      </c>
      <c r="K388" s="23"/>
      <c r="L388" s="165" t="s">
        <v>1427</v>
      </c>
      <c r="M388" s="166" t="s">
        <v>656</v>
      </c>
      <c r="N388" s="167"/>
      <c r="O388" s="166" t="n">
        <v>0</v>
      </c>
      <c r="P388" s="168" t="str">
        <f aca="false">IF(N388="","",N388+CHOOSE(MIN(O388,3)+1,3,7,21,45))</f>
        <v/>
      </c>
      <c r="Q388" s="166"/>
      <c r="R388" s="169"/>
    </row>
    <row r="389" customFormat="false" ht="15" hidden="false" customHeight="false" outlineLevel="0" collapsed="false">
      <c r="A389" s="23" t="n">
        <v>388</v>
      </c>
      <c r="B389" s="23" t="s">
        <v>74</v>
      </c>
      <c r="C389" s="41" t="s">
        <v>42</v>
      </c>
      <c r="D389" s="124" t="s">
        <v>461</v>
      </c>
      <c r="E389" s="124" t="s">
        <v>473</v>
      </c>
      <c r="F389" s="23" t="n">
        <v>1334</v>
      </c>
      <c r="G389" s="161" t="s">
        <v>1428</v>
      </c>
      <c r="H389" s="170" t="s">
        <v>9</v>
      </c>
      <c r="I389" s="171" t="s">
        <v>653</v>
      </c>
      <c r="J389" s="172" t="s">
        <v>654</v>
      </c>
      <c r="K389" s="23"/>
      <c r="L389" s="165" t="s">
        <v>1429</v>
      </c>
      <c r="M389" s="166" t="s">
        <v>656</v>
      </c>
      <c r="N389" s="167"/>
      <c r="O389" s="166" t="n">
        <v>0</v>
      </c>
      <c r="P389" s="168" t="str">
        <f aca="false">IF(N389="","",N389+CHOOSE(MIN(O389,3)+1,3,7,21,45))</f>
        <v/>
      </c>
      <c r="Q389" s="166"/>
      <c r="R389" s="169"/>
    </row>
    <row r="390" customFormat="false" ht="23.85" hidden="false" customHeight="false" outlineLevel="0" collapsed="false">
      <c r="A390" s="23" t="n">
        <v>389</v>
      </c>
      <c r="B390" s="23" t="s">
        <v>74</v>
      </c>
      <c r="C390" s="41" t="s">
        <v>42</v>
      </c>
      <c r="D390" s="124" t="s">
        <v>477</v>
      </c>
      <c r="E390" s="124" t="s">
        <v>478</v>
      </c>
      <c r="F390" s="23" t="n">
        <v>1584</v>
      </c>
      <c r="G390" s="161" t="s">
        <v>1430</v>
      </c>
      <c r="H390" s="170" t="s">
        <v>9</v>
      </c>
      <c r="I390" s="173" t="s">
        <v>668</v>
      </c>
      <c r="J390" s="174" t="s">
        <v>669</v>
      </c>
      <c r="K390" s="23"/>
      <c r="L390" s="165" t="s">
        <v>1431</v>
      </c>
      <c r="M390" s="166" t="s">
        <v>656</v>
      </c>
      <c r="N390" s="167"/>
      <c r="O390" s="166" t="n">
        <v>0</v>
      </c>
      <c r="P390" s="168" t="str">
        <f aca="false">IF(N390="","",N390+CHOOSE(MIN(O390,3)+1,3,7,21,45))</f>
        <v/>
      </c>
      <c r="Q390" s="166"/>
      <c r="R390" s="169"/>
    </row>
    <row r="391" customFormat="false" ht="23.85" hidden="false" customHeight="false" outlineLevel="0" collapsed="false">
      <c r="A391" s="23" t="n">
        <v>390</v>
      </c>
      <c r="B391" s="23" t="s">
        <v>74</v>
      </c>
      <c r="C391" s="41" t="s">
        <v>42</v>
      </c>
      <c r="D391" s="124" t="s">
        <v>477</v>
      </c>
      <c r="E391" s="124" t="s">
        <v>478</v>
      </c>
      <c r="F391" s="23" t="n">
        <v>1489</v>
      </c>
      <c r="G391" s="161" t="s">
        <v>1432</v>
      </c>
      <c r="H391" s="175" t="s">
        <v>11</v>
      </c>
      <c r="I391" s="171" t="s">
        <v>653</v>
      </c>
      <c r="J391" s="172" t="s">
        <v>654</v>
      </c>
      <c r="K391" s="23"/>
      <c r="L391" s="165" t="s">
        <v>1433</v>
      </c>
      <c r="M391" s="166" t="s">
        <v>656</v>
      </c>
      <c r="N391" s="167"/>
      <c r="O391" s="166" t="n">
        <v>0</v>
      </c>
      <c r="P391" s="168" t="str">
        <f aca="false">IF(N391="","",N391+CHOOSE(MIN(O391,3)+1,3,7,21,45))</f>
        <v/>
      </c>
      <c r="Q391" s="166"/>
      <c r="R391" s="169"/>
    </row>
    <row r="392" customFormat="false" ht="15" hidden="false" customHeight="false" outlineLevel="0" collapsed="false">
      <c r="A392" s="23" t="n">
        <v>391</v>
      </c>
      <c r="B392" s="23" t="s">
        <v>74</v>
      </c>
      <c r="C392" s="41" t="s">
        <v>42</v>
      </c>
      <c r="D392" s="124" t="s">
        <v>477</v>
      </c>
      <c r="E392" s="124" t="s">
        <v>482</v>
      </c>
      <c r="F392" s="23" t="n">
        <v>332</v>
      </c>
      <c r="G392" s="161" t="s">
        <v>1434</v>
      </c>
      <c r="H392" s="175" t="s">
        <v>11</v>
      </c>
      <c r="I392" s="173" t="s">
        <v>668</v>
      </c>
      <c r="J392" s="174" t="s">
        <v>669</v>
      </c>
      <c r="K392" s="23"/>
      <c r="L392" s="165" t="s">
        <v>1435</v>
      </c>
      <c r="M392" s="166" t="s">
        <v>656</v>
      </c>
      <c r="N392" s="167"/>
      <c r="O392" s="166" t="n">
        <v>0</v>
      </c>
      <c r="P392" s="168" t="str">
        <f aca="false">IF(N392="","",N392+CHOOSE(MIN(O392,3)+1,3,7,21,45))</f>
        <v/>
      </c>
      <c r="Q392" s="166"/>
      <c r="R392" s="169"/>
    </row>
    <row r="393" customFormat="false" ht="15" hidden="false" customHeight="false" outlineLevel="0" collapsed="false">
      <c r="A393" s="23" t="n">
        <v>392</v>
      </c>
      <c r="B393" s="23" t="s">
        <v>74</v>
      </c>
      <c r="C393" s="41" t="s">
        <v>42</v>
      </c>
      <c r="D393" s="124" t="s">
        <v>477</v>
      </c>
      <c r="E393" s="124" t="s">
        <v>482</v>
      </c>
      <c r="F393" s="23" t="n">
        <v>753</v>
      </c>
      <c r="G393" s="161" t="s">
        <v>1436</v>
      </c>
      <c r="H393" s="175" t="s">
        <v>11</v>
      </c>
      <c r="I393" s="171" t="s">
        <v>653</v>
      </c>
      <c r="J393" s="172" t="s">
        <v>654</v>
      </c>
      <c r="K393" s="23"/>
      <c r="L393" s="165" t="s">
        <v>1437</v>
      </c>
      <c r="M393" s="166" t="s">
        <v>656</v>
      </c>
      <c r="N393" s="167"/>
      <c r="O393" s="166" t="n">
        <v>0</v>
      </c>
      <c r="P393" s="168" t="str">
        <f aca="false">IF(N393="","",N393+CHOOSE(MIN(O393,3)+1,3,7,21,45))</f>
        <v/>
      </c>
      <c r="Q393" s="166"/>
      <c r="R393" s="169"/>
    </row>
    <row r="394" customFormat="false" ht="15" hidden="false" customHeight="false" outlineLevel="0" collapsed="false">
      <c r="A394" s="23" t="n">
        <v>393</v>
      </c>
      <c r="B394" s="23" t="s">
        <v>74</v>
      </c>
      <c r="C394" s="41" t="s">
        <v>42</v>
      </c>
      <c r="D394" s="124" t="s">
        <v>477</v>
      </c>
      <c r="E394" s="124" t="s">
        <v>485</v>
      </c>
      <c r="F394" s="23" t="n">
        <v>1192</v>
      </c>
      <c r="G394" s="161" t="s">
        <v>1438</v>
      </c>
      <c r="H394" s="175" t="s">
        <v>11</v>
      </c>
      <c r="I394" s="176" t="s">
        <v>15</v>
      </c>
      <c r="J394" s="174" t="s">
        <v>669</v>
      </c>
      <c r="K394" s="23"/>
      <c r="L394" s="165" t="s">
        <v>1439</v>
      </c>
      <c r="M394" s="166" t="s">
        <v>656</v>
      </c>
      <c r="N394" s="167"/>
      <c r="O394" s="166" t="n">
        <v>0</v>
      </c>
      <c r="P394" s="168" t="str">
        <f aca="false">IF(N394="","",N394+CHOOSE(MIN(O394,3)+1,3,7,21,45))</f>
        <v/>
      </c>
      <c r="Q394" s="166"/>
      <c r="R394" s="169"/>
    </row>
    <row r="395" customFormat="false" ht="15" hidden="false" customHeight="false" outlineLevel="0" collapsed="false">
      <c r="A395" s="23" t="n">
        <v>394</v>
      </c>
      <c r="B395" s="23" t="s">
        <v>45</v>
      </c>
      <c r="C395" s="42" t="s">
        <v>44</v>
      </c>
      <c r="D395" s="129" t="s">
        <v>489</v>
      </c>
      <c r="E395" s="129" t="s">
        <v>490</v>
      </c>
      <c r="F395" s="23" t="n">
        <v>55</v>
      </c>
      <c r="G395" s="161" t="s">
        <v>1440</v>
      </c>
      <c r="H395" s="170" t="s">
        <v>9</v>
      </c>
      <c r="I395" s="163" t="s">
        <v>13</v>
      </c>
      <c r="J395" s="164" t="s">
        <v>649</v>
      </c>
      <c r="K395" s="23"/>
      <c r="L395" s="165" t="s">
        <v>1441</v>
      </c>
      <c r="M395" s="166" t="s">
        <v>656</v>
      </c>
      <c r="N395" s="167"/>
      <c r="O395" s="166" t="n">
        <v>0</v>
      </c>
      <c r="P395" s="168" t="str">
        <f aca="false">IF(N395="","",N395+CHOOSE(MIN(O395,3)+1,3,7,21,45))</f>
        <v/>
      </c>
      <c r="Q395" s="166"/>
      <c r="R395" s="169"/>
    </row>
    <row r="396" customFormat="false" ht="15" hidden="false" customHeight="false" outlineLevel="0" collapsed="false">
      <c r="A396" s="23" t="n">
        <v>395</v>
      </c>
      <c r="B396" s="23" t="s">
        <v>45</v>
      </c>
      <c r="C396" s="42" t="s">
        <v>44</v>
      </c>
      <c r="D396" s="129" t="s">
        <v>489</v>
      </c>
      <c r="E396" s="129" t="s">
        <v>490</v>
      </c>
      <c r="F396" s="23" t="n">
        <v>45</v>
      </c>
      <c r="G396" s="161" t="s">
        <v>1442</v>
      </c>
      <c r="H396" s="170" t="s">
        <v>9</v>
      </c>
      <c r="I396" s="173" t="s">
        <v>668</v>
      </c>
      <c r="J396" s="174" t="s">
        <v>669</v>
      </c>
      <c r="K396" s="23"/>
      <c r="L396" s="165" t="s">
        <v>1443</v>
      </c>
      <c r="M396" s="166" t="s">
        <v>656</v>
      </c>
      <c r="N396" s="167"/>
      <c r="O396" s="166" t="n">
        <v>0</v>
      </c>
      <c r="P396" s="168" t="str">
        <f aca="false">IF(N396="","",N396+CHOOSE(MIN(O396,3)+1,3,7,21,45))</f>
        <v/>
      </c>
      <c r="Q396" s="166"/>
      <c r="R396" s="169"/>
    </row>
    <row r="397" customFormat="false" ht="15" hidden="false" customHeight="false" outlineLevel="0" collapsed="false">
      <c r="A397" s="23" t="n">
        <v>396</v>
      </c>
      <c r="B397" s="23" t="s">
        <v>45</v>
      </c>
      <c r="C397" s="42" t="s">
        <v>44</v>
      </c>
      <c r="D397" s="129" t="s">
        <v>489</v>
      </c>
      <c r="E397" s="129" t="s">
        <v>490</v>
      </c>
      <c r="F397" s="23" t="n">
        <v>1306</v>
      </c>
      <c r="G397" s="161" t="s">
        <v>1444</v>
      </c>
      <c r="H397" s="170" t="s">
        <v>9</v>
      </c>
      <c r="I397" s="171" t="s">
        <v>653</v>
      </c>
      <c r="J397" s="172" t="s">
        <v>654</v>
      </c>
      <c r="K397" s="23"/>
      <c r="L397" s="165" t="s">
        <v>1445</v>
      </c>
      <c r="M397" s="166" t="s">
        <v>656</v>
      </c>
      <c r="N397" s="167"/>
      <c r="O397" s="166" t="n">
        <v>0</v>
      </c>
      <c r="P397" s="168" t="str">
        <f aca="false">IF(N397="","",N397+CHOOSE(MIN(O397,3)+1,3,7,21,45))</f>
        <v/>
      </c>
      <c r="Q397" s="166"/>
      <c r="R397" s="169"/>
    </row>
    <row r="398" customFormat="false" ht="15" hidden="false" customHeight="false" outlineLevel="0" collapsed="false">
      <c r="A398" s="23" t="n">
        <v>397</v>
      </c>
      <c r="B398" s="23" t="s">
        <v>45</v>
      </c>
      <c r="C398" s="42" t="s">
        <v>44</v>
      </c>
      <c r="D398" s="129" t="s">
        <v>489</v>
      </c>
      <c r="E398" s="129" t="s">
        <v>493</v>
      </c>
      <c r="F398" s="23" t="n">
        <v>455</v>
      </c>
      <c r="G398" s="161" t="s">
        <v>1446</v>
      </c>
      <c r="H398" s="162" t="s">
        <v>7</v>
      </c>
      <c r="I398" s="171" t="s">
        <v>653</v>
      </c>
      <c r="J398" s="172" t="s">
        <v>654</v>
      </c>
      <c r="K398" s="23"/>
      <c r="L398" s="165" t="s">
        <v>1447</v>
      </c>
      <c r="M398" s="166" t="s">
        <v>656</v>
      </c>
      <c r="N398" s="167"/>
      <c r="O398" s="166" t="n">
        <v>0</v>
      </c>
      <c r="P398" s="168" t="str">
        <f aca="false">IF(N398="","",N398+CHOOSE(MIN(O398,3)+1,3,7,21,45))</f>
        <v/>
      </c>
      <c r="Q398" s="166"/>
      <c r="R398" s="169"/>
    </row>
    <row r="399" customFormat="false" ht="15" hidden="false" customHeight="false" outlineLevel="0" collapsed="false">
      <c r="A399" s="23" t="n">
        <v>398</v>
      </c>
      <c r="B399" s="23" t="s">
        <v>45</v>
      </c>
      <c r="C399" s="42" t="s">
        <v>44</v>
      </c>
      <c r="D399" s="129" t="s">
        <v>489</v>
      </c>
      <c r="E399" s="129" t="s">
        <v>493</v>
      </c>
      <c r="F399" s="23" t="n">
        <v>1029</v>
      </c>
      <c r="G399" s="161" t="s">
        <v>1448</v>
      </c>
      <c r="H399" s="170" t="s">
        <v>9</v>
      </c>
      <c r="I399" s="171" t="s">
        <v>653</v>
      </c>
      <c r="J399" s="172" t="s">
        <v>654</v>
      </c>
      <c r="K399" s="23"/>
      <c r="L399" s="165" t="s">
        <v>1449</v>
      </c>
      <c r="M399" s="166" t="s">
        <v>656</v>
      </c>
      <c r="N399" s="167"/>
      <c r="O399" s="166" t="n">
        <v>0</v>
      </c>
      <c r="P399" s="168" t="str">
        <f aca="false">IF(N399="","",N399+CHOOSE(MIN(O399,3)+1,3,7,21,45))</f>
        <v/>
      </c>
      <c r="Q399" s="166"/>
      <c r="R399" s="169"/>
    </row>
    <row r="400" customFormat="false" ht="15" hidden="false" customHeight="false" outlineLevel="0" collapsed="false">
      <c r="A400" s="23" t="n">
        <v>399</v>
      </c>
      <c r="B400" s="23" t="s">
        <v>45</v>
      </c>
      <c r="C400" s="42" t="s">
        <v>44</v>
      </c>
      <c r="D400" s="129" t="s">
        <v>489</v>
      </c>
      <c r="E400" s="129" t="s">
        <v>493</v>
      </c>
      <c r="F400" s="23" t="n">
        <v>846</v>
      </c>
      <c r="G400" s="161" t="s">
        <v>1450</v>
      </c>
      <c r="H400" s="170" t="s">
        <v>9</v>
      </c>
      <c r="I400" s="173" t="s">
        <v>668</v>
      </c>
      <c r="J400" s="174" t="s">
        <v>669</v>
      </c>
      <c r="K400" s="23"/>
      <c r="L400" s="165" t="s">
        <v>1451</v>
      </c>
      <c r="M400" s="166" t="s">
        <v>656</v>
      </c>
      <c r="N400" s="167"/>
      <c r="O400" s="166" t="n">
        <v>0</v>
      </c>
      <c r="P400" s="168" t="str">
        <f aca="false">IF(N400="","",N400+CHOOSE(MIN(O400,3)+1,3,7,21,45))</f>
        <v/>
      </c>
      <c r="Q400" s="166"/>
      <c r="R400" s="169"/>
    </row>
    <row r="401" customFormat="false" ht="15" hidden="false" customHeight="false" outlineLevel="0" collapsed="false">
      <c r="A401" s="23" t="n">
        <v>400</v>
      </c>
      <c r="B401" s="23" t="s">
        <v>45</v>
      </c>
      <c r="C401" s="42" t="s">
        <v>44</v>
      </c>
      <c r="D401" s="129" t="s">
        <v>489</v>
      </c>
      <c r="E401" s="129" t="s">
        <v>493</v>
      </c>
      <c r="F401" s="23" t="n">
        <v>1899</v>
      </c>
      <c r="G401" s="161" t="s">
        <v>1452</v>
      </c>
      <c r="H401" s="170" t="s">
        <v>9</v>
      </c>
      <c r="I401" s="173" t="s">
        <v>668</v>
      </c>
      <c r="J401" s="174" t="s">
        <v>669</v>
      </c>
      <c r="K401" s="23"/>
      <c r="L401" s="165" t="s">
        <v>1453</v>
      </c>
      <c r="M401" s="166" t="s">
        <v>656</v>
      </c>
      <c r="N401" s="167"/>
      <c r="O401" s="166" t="n">
        <v>0</v>
      </c>
      <c r="P401" s="168" t="str">
        <f aca="false">IF(N401="","",N401+CHOOSE(MIN(O401,3)+1,3,7,21,45))</f>
        <v/>
      </c>
      <c r="Q401" s="166"/>
      <c r="R401" s="169"/>
    </row>
    <row r="402" customFormat="false" ht="15" hidden="false" customHeight="false" outlineLevel="0" collapsed="false">
      <c r="A402" s="23" t="n">
        <v>401</v>
      </c>
      <c r="B402" s="23" t="s">
        <v>45</v>
      </c>
      <c r="C402" s="42" t="s">
        <v>44</v>
      </c>
      <c r="D402" s="129" t="s">
        <v>489</v>
      </c>
      <c r="E402" s="129" t="s">
        <v>493</v>
      </c>
      <c r="F402" s="23" t="n">
        <v>763</v>
      </c>
      <c r="G402" s="161" t="s">
        <v>1454</v>
      </c>
      <c r="H402" s="170" t="s">
        <v>9</v>
      </c>
      <c r="I402" s="173" t="s">
        <v>668</v>
      </c>
      <c r="J402" s="174" t="s">
        <v>669</v>
      </c>
      <c r="K402" s="23"/>
      <c r="L402" s="165" t="s">
        <v>1455</v>
      </c>
      <c r="M402" s="166" t="s">
        <v>656</v>
      </c>
      <c r="N402" s="167"/>
      <c r="O402" s="166" t="n">
        <v>0</v>
      </c>
      <c r="P402" s="168" t="str">
        <f aca="false">IF(N402="","",N402+CHOOSE(MIN(O402,3)+1,3,7,21,45))</f>
        <v/>
      </c>
      <c r="Q402" s="166"/>
      <c r="R402" s="169"/>
    </row>
    <row r="403" customFormat="false" ht="15" hidden="false" customHeight="false" outlineLevel="0" collapsed="false">
      <c r="A403" s="23" t="n">
        <v>402</v>
      </c>
      <c r="B403" s="23" t="s">
        <v>45</v>
      </c>
      <c r="C403" s="42" t="s">
        <v>44</v>
      </c>
      <c r="D403" s="129" t="s">
        <v>489</v>
      </c>
      <c r="E403" s="129" t="s">
        <v>496</v>
      </c>
      <c r="F403" s="23" t="n">
        <v>860</v>
      </c>
      <c r="G403" s="161" t="s">
        <v>1456</v>
      </c>
      <c r="H403" s="162" t="s">
        <v>7</v>
      </c>
      <c r="I403" s="171" t="s">
        <v>653</v>
      </c>
      <c r="J403" s="172" t="s">
        <v>654</v>
      </c>
      <c r="K403" s="23"/>
      <c r="L403" s="165" t="s">
        <v>1457</v>
      </c>
      <c r="M403" s="166" t="s">
        <v>656</v>
      </c>
      <c r="N403" s="167"/>
      <c r="O403" s="166" t="n">
        <v>0</v>
      </c>
      <c r="P403" s="168" t="str">
        <f aca="false">IF(N403="","",N403+CHOOSE(MIN(O403,3)+1,3,7,21,45))</f>
        <v/>
      </c>
      <c r="Q403" s="166"/>
      <c r="R403" s="169"/>
    </row>
    <row r="404" customFormat="false" ht="15" hidden="false" customHeight="false" outlineLevel="0" collapsed="false">
      <c r="A404" s="23" t="n">
        <v>403</v>
      </c>
      <c r="B404" s="23" t="s">
        <v>45</v>
      </c>
      <c r="C404" s="42" t="s">
        <v>44</v>
      </c>
      <c r="D404" s="129" t="s">
        <v>489</v>
      </c>
      <c r="E404" s="129" t="s">
        <v>496</v>
      </c>
      <c r="F404" s="23" t="n">
        <v>605</v>
      </c>
      <c r="G404" s="161" t="s">
        <v>1458</v>
      </c>
      <c r="H404" s="162" t="s">
        <v>7</v>
      </c>
      <c r="I404" s="171" t="s">
        <v>653</v>
      </c>
      <c r="J404" s="172" t="s">
        <v>654</v>
      </c>
      <c r="K404" s="23"/>
      <c r="L404" s="165" t="s">
        <v>1459</v>
      </c>
      <c r="M404" s="166" t="s">
        <v>656</v>
      </c>
      <c r="N404" s="167"/>
      <c r="O404" s="166" t="n">
        <v>0</v>
      </c>
      <c r="P404" s="168" t="str">
        <f aca="false">IF(N404="","",N404+CHOOSE(MIN(O404,3)+1,3,7,21,45))</f>
        <v/>
      </c>
      <c r="Q404" s="166"/>
      <c r="R404" s="169"/>
    </row>
    <row r="405" customFormat="false" ht="15" hidden="false" customHeight="false" outlineLevel="0" collapsed="false">
      <c r="A405" s="23" t="n">
        <v>404</v>
      </c>
      <c r="B405" s="23" t="s">
        <v>45</v>
      </c>
      <c r="C405" s="42" t="s">
        <v>44</v>
      </c>
      <c r="D405" s="129" t="s">
        <v>489</v>
      </c>
      <c r="E405" s="129" t="s">
        <v>496</v>
      </c>
      <c r="F405" s="23" t="n">
        <v>134</v>
      </c>
      <c r="G405" s="161" t="s">
        <v>1460</v>
      </c>
      <c r="H405" s="170" t="s">
        <v>9</v>
      </c>
      <c r="I405" s="173" t="s">
        <v>668</v>
      </c>
      <c r="J405" s="174" t="s">
        <v>669</v>
      </c>
      <c r="K405" s="23"/>
      <c r="L405" s="165" t="s">
        <v>1461</v>
      </c>
      <c r="M405" s="166" t="s">
        <v>656</v>
      </c>
      <c r="N405" s="167"/>
      <c r="O405" s="166" t="n">
        <v>0</v>
      </c>
      <c r="P405" s="168" t="str">
        <f aca="false">IF(N405="","",N405+CHOOSE(MIN(O405,3)+1,3,7,21,45))</f>
        <v/>
      </c>
      <c r="Q405" s="166"/>
      <c r="R405" s="169"/>
    </row>
    <row r="406" customFormat="false" ht="15" hidden="false" customHeight="false" outlineLevel="0" collapsed="false">
      <c r="A406" s="23" t="n">
        <v>405</v>
      </c>
      <c r="B406" s="23" t="s">
        <v>45</v>
      </c>
      <c r="C406" s="42" t="s">
        <v>44</v>
      </c>
      <c r="D406" s="129" t="s">
        <v>489</v>
      </c>
      <c r="E406" s="129" t="s">
        <v>496</v>
      </c>
      <c r="F406" s="23" t="n">
        <v>334</v>
      </c>
      <c r="G406" s="161" t="s">
        <v>1462</v>
      </c>
      <c r="H406" s="170" t="s">
        <v>9</v>
      </c>
      <c r="I406" s="171" t="s">
        <v>653</v>
      </c>
      <c r="J406" s="172" t="s">
        <v>654</v>
      </c>
      <c r="K406" s="23"/>
      <c r="L406" s="165" t="s">
        <v>1463</v>
      </c>
      <c r="M406" s="166" t="s">
        <v>656</v>
      </c>
      <c r="N406" s="167"/>
      <c r="O406" s="166" t="n">
        <v>0</v>
      </c>
      <c r="P406" s="168" t="str">
        <f aca="false">IF(N406="","",N406+CHOOSE(MIN(O406,3)+1,3,7,21,45))</f>
        <v/>
      </c>
      <c r="Q406" s="166"/>
      <c r="R406" s="169"/>
    </row>
    <row r="407" customFormat="false" ht="15" hidden="false" customHeight="false" outlineLevel="0" collapsed="false">
      <c r="A407" s="23" t="n">
        <v>406</v>
      </c>
      <c r="B407" s="23" t="s">
        <v>45</v>
      </c>
      <c r="C407" s="42" t="s">
        <v>44</v>
      </c>
      <c r="D407" s="129" t="s">
        <v>489</v>
      </c>
      <c r="E407" s="129" t="s">
        <v>499</v>
      </c>
      <c r="F407" s="23" t="n">
        <v>678</v>
      </c>
      <c r="G407" s="161" t="s">
        <v>1464</v>
      </c>
      <c r="H407" s="170" t="s">
        <v>9</v>
      </c>
      <c r="I407" s="173" t="s">
        <v>668</v>
      </c>
      <c r="J407" s="174" t="s">
        <v>669</v>
      </c>
      <c r="K407" s="23"/>
      <c r="L407" s="165" t="s">
        <v>1465</v>
      </c>
      <c r="M407" s="166" t="s">
        <v>656</v>
      </c>
      <c r="N407" s="167"/>
      <c r="O407" s="166" t="n">
        <v>0</v>
      </c>
      <c r="P407" s="168" t="str">
        <f aca="false">IF(N407="","",N407+CHOOSE(MIN(O407,3)+1,3,7,21,45))</f>
        <v/>
      </c>
      <c r="Q407" s="166"/>
      <c r="R407" s="169"/>
    </row>
    <row r="408" customFormat="false" ht="15" hidden="false" customHeight="false" outlineLevel="0" collapsed="false">
      <c r="A408" s="23" t="n">
        <v>407</v>
      </c>
      <c r="B408" s="23" t="s">
        <v>45</v>
      </c>
      <c r="C408" s="42" t="s">
        <v>44</v>
      </c>
      <c r="D408" s="129" t="s">
        <v>489</v>
      </c>
      <c r="E408" s="129" t="s">
        <v>499</v>
      </c>
      <c r="F408" s="23" t="n">
        <v>135</v>
      </c>
      <c r="G408" s="161" t="s">
        <v>1466</v>
      </c>
      <c r="H408" s="175" t="s">
        <v>11</v>
      </c>
      <c r="I408" s="176" t="s">
        <v>15</v>
      </c>
      <c r="J408" s="174" t="s">
        <v>669</v>
      </c>
      <c r="K408" s="23"/>
      <c r="L408" s="165" t="s">
        <v>1467</v>
      </c>
      <c r="M408" s="166" t="s">
        <v>656</v>
      </c>
      <c r="N408" s="167"/>
      <c r="O408" s="166" t="n">
        <v>0</v>
      </c>
      <c r="P408" s="168" t="str">
        <f aca="false">IF(N408="","",N408+CHOOSE(MIN(O408,3)+1,3,7,21,45))</f>
        <v/>
      </c>
      <c r="Q408" s="166"/>
      <c r="R408" s="169"/>
    </row>
    <row r="409" customFormat="false" ht="15" hidden="false" customHeight="false" outlineLevel="0" collapsed="false">
      <c r="A409" s="23" t="n">
        <v>408</v>
      </c>
      <c r="B409" s="23" t="s">
        <v>45</v>
      </c>
      <c r="C409" s="42" t="s">
        <v>44</v>
      </c>
      <c r="D409" s="129" t="s">
        <v>489</v>
      </c>
      <c r="E409" s="129" t="s">
        <v>499</v>
      </c>
      <c r="F409" s="23" t="n">
        <v>330</v>
      </c>
      <c r="G409" s="161" t="s">
        <v>1468</v>
      </c>
      <c r="H409" s="175" t="s">
        <v>11</v>
      </c>
      <c r="I409" s="171" t="s">
        <v>653</v>
      </c>
      <c r="J409" s="172" t="s">
        <v>654</v>
      </c>
      <c r="K409" s="23"/>
      <c r="L409" s="165" t="s">
        <v>1469</v>
      </c>
      <c r="M409" s="166" t="s">
        <v>656</v>
      </c>
      <c r="N409" s="167"/>
      <c r="O409" s="166" t="n">
        <v>0</v>
      </c>
      <c r="P409" s="168" t="str">
        <f aca="false">IF(N409="","",N409+CHOOSE(MIN(O409,3)+1,3,7,21,45))</f>
        <v/>
      </c>
      <c r="Q409" s="166"/>
      <c r="R409" s="169"/>
    </row>
    <row r="410" customFormat="false" ht="15" hidden="false" customHeight="false" outlineLevel="0" collapsed="false">
      <c r="A410" s="23" t="n">
        <v>409</v>
      </c>
      <c r="B410" s="23" t="s">
        <v>45</v>
      </c>
      <c r="C410" s="43" t="s">
        <v>46</v>
      </c>
      <c r="D410" s="134" t="s">
        <v>503</v>
      </c>
      <c r="E410" s="134" t="s">
        <v>504</v>
      </c>
      <c r="F410" s="23" t="n">
        <v>136</v>
      </c>
      <c r="G410" s="161" t="s">
        <v>1470</v>
      </c>
      <c r="H410" s="162" t="s">
        <v>7</v>
      </c>
      <c r="I410" s="173" t="s">
        <v>668</v>
      </c>
      <c r="J410" s="174" t="s">
        <v>669</v>
      </c>
      <c r="K410" s="23"/>
      <c r="L410" s="165" t="s">
        <v>1471</v>
      </c>
      <c r="M410" s="166" t="s">
        <v>656</v>
      </c>
      <c r="N410" s="167"/>
      <c r="O410" s="166" t="n">
        <v>0</v>
      </c>
      <c r="P410" s="168" t="str">
        <f aca="false">IF(N410="","",N410+CHOOSE(MIN(O410,3)+1,3,7,21,45))</f>
        <v/>
      </c>
      <c r="Q410" s="166"/>
      <c r="R410" s="169"/>
    </row>
    <row r="411" customFormat="false" ht="15" hidden="false" customHeight="false" outlineLevel="0" collapsed="false">
      <c r="A411" s="23" t="n">
        <v>410</v>
      </c>
      <c r="B411" s="23" t="s">
        <v>45</v>
      </c>
      <c r="C411" s="43" t="s">
        <v>46</v>
      </c>
      <c r="D411" s="134" t="s">
        <v>503</v>
      </c>
      <c r="E411" s="134" t="s">
        <v>504</v>
      </c>
      <c r="F411" s="23" t="n">
        <v>268</v>
      </c>
      <c r="G411" s="161" t="s">
        <v>1472</v>
      </c>
      <c r="H411" s="162" t="s">
        <v>7</v>
      </c>
      <c r="I411" s="163" t="s">
        <v>13</v>
      </c>
      <c r="J411" s="164" t="s">
        <v>649</v>
      </c>
      <c r="K411" s="23"/>
      <c r="L411" s="165" t="s">
        <v>1473</v>
      </c>
      <c r="M411" s="166" t="s">
        <v>656</v>
      </c>
      <c r="N411" s="167"/>
      <c r="O411" s="166" t="n">
        <v>0</v>
      </c>
      <c r="P411" s="168" t="str">
        <f aca="false">IF(N411="","",N411+CHOOSE(MIN(O411,3)+1,3,7,21,45))</f>
        <v/>
      </c>
      <c r="Q411" s="166"/>
      <c r="R411" s="169"/>
    </row>
    <row r="412" customFormat="false" ht="15" hidden="false" customHeight="false" outlineLevel="0" collapsed="false">
      <c r="A412" s="23" t="n">
        <v>411</v>
      </c>
      <c r="B412" s="23" t="s">
        <v>45</v>
      </c>
      <c r="C412" s="43" t="s">
        <v>46</v>
      </c>
      <c r="D412" s="134" t="s">
        <v>503</v>
      </c>
      <c r="E412" s="134" t="s">
        <v>504</v>
      </c>
      <c r="F412" s="23" t="n">
        <v>137</v>
      </c>
      <c r="G412" s="161" t="s">
        <v>1474</v>
      </c>
      <c r="H412" s="170" t="s">
        <v>9</v>
      </c>
      <c r="I412" s="171" t="s">
        <v>653</v>
      </c>
      <c r="J412" s="172" t="s">
        <v>654</v>
      </c>
      <c r="K412" s="23"/>
      <c r="L412" s="165" t="s">
        <v>1475</v>
      </c>
      <c r="M412" s="166" t="s">
        <v>656</v>
      </c>
      <c r="N412" s="167"/>
      <c r="O412" s="166" t="n">
        <v>0</v>
      </c>
      <c r="P412" s="168" t="str">
        <f aca="false">IF(N412="","",N412+CHOOSE(MIN(O412,3)+1,3,7,21,45))</f>
        <v/>
      </c>
      <c r="Q412" s="166"/>
      <c r="R412" s="169"/>
    </row>
    <row r="413" customFormat="false" ht="15" hidden="false" customHeight="false" outlineLevel="0" collapsed="false">
      <c r="A413" s="23" t="n">
        <v>412</v>
      </c>
      <c r="B413" s="23" t="s">
        <v>45</v>
      </c>
      <c r="C413" s="43" t="s">
        <v>46</v>
      </c>
      <c r="D413" s="134" t="s">
        <v>503</v>
      </c>
      <c r="E413" s="134" t="s">
        <v>504</v>
      </c>
      <c r="F413" s="23" t="n">
        <v>260</v>
      </c>
      <c r="G413" s="161" t="s">
        <v>1476</v>
      </c>
      <c r="H413" s="170" t="s">
        <v>9</v>
      </c>
      <c r="I413" s="171" t="s">
        <v>653</v>
      </c>
      <c r="J413" s="172" t="s">
        <v>654</v>
      </c>
      <c r="K413" s="23"/>
      <c r="L413" s="165" t="s">
        <v>1477</v>
      </c>
      <c r="M413" s="166" t="s">
        <v>656</v>
      </c>
      <c r="N413" s="167"/>
      <c r="O413" s="166" t="n">
        <v>0</v>
      </c>
      <c r="P413" s="168" t="str">
        <f aca="false">IF(N413="","",N413+CHOOSE(MIN(O413,3)+1,3,7,21,45))</f>
        <v/>
      </c>
      <c r="Q413" s="166"/>
      <c r="R413" s="169"/>
    </row>
    <row r="414" customFormat="false" ht="15" hidden="false" customHeight="false" outlineLevel="0" collapsed="false">
      <c r="A414" s="23" t="n">
        <v>413</v>
      </c>
      <c r="B414" s="23" t="s">
        <v>45</v>
      </c>
      <c r="C414" s="43" t="s">
        <v>46</v>
      </c>
      <c r="D414" s="134" t="s">
        <v>503</v>
      </c>
      <c r="E414" s="134" t="s">
        <v>504</v>
      </c>
      <c r="F414" s="23" t="n">
        <v>1310</v>
      </c>
      <c r="G414" s="161" t="s">
        <v>1478</v>
      </c>
      <c r="H414" s="170" t="s">
        <v>9</v>
      </c>
      <c r="I414" s="171" t="s">
        <v>653</v>
      </c>
      <c r="J414" s="172" t="s">
        <v>654</v>
      </c>
      <c r="K414" s="23"/>
      <c r="L414" s="165" t="s">
        <v>1479</v>
      </c>
      <c r="M414" s="166" t="s">
        <v>656</v>
      </c>
      <c r="N414" s="167"/>
      <c r="O414" s="166" t="n">
        <v>0</v>
      </c>
      <c r="P414" s="168" t="str">
        <f aca="false">IF(N414="","",N414+CHOOSE(MIN(O414,3)+1,3,7,21,45))</f>
        <v/>
      </c>
      <c r="Q414" s="166"/>
      <c r="R414" s="169"/>
    </row>
    <row r="415" customFormat="false" ht="15" hidden="false" customHeight="false" outlineLevel="0" collapsed="false">
      <c r="A415" s="23" t="n">
        <v>414</v>
      </c>
      <c r="B415" s="23" t="s">
        <v>45</v>
      </c>
      <c r="C415" s="43" t="s">
        <v>46</v>
      </c>
      <c r="D415" s="134" t="s">
        <v>503</v>
      </c>
      <c r="E415" s="134" t="s">
        <v>507</v>
      </c>
      <c r="F415" s="23" t="n">
        <v>191</v>
      </c>
      <c r="G415" s="161" t="s">
        <v>1480</v>
      </c>
      <c r="H415" s="162" t="s">
        <v>7</v>
      </c>
      <c r="I415" s="163" t="s">
        <v>13</v>
      </c>
      <c r="J415" s="164" t="s">
        <v>649</v>
      </c>
      <c r="K415" s="23"/>
      <c r="L415" s="165" t="s">
        <v>1481</v>
      </c>
      <c r="M415" s="166" t="s">
        <v>656</v>
      </c>
      <c r="N415" s="167"/>
      <c r="O415" s="166" t="n">
        <v>0</v>
      </c>
      <c r="P415" s="168" t="str">
        <f aca="false">IF(N415="","",N415+CHOOSE(MIN(O415,3)+1,3,7,21,45))</f>
        <v/>
      </c>
      <c r="Q415" s="166"/>
      <c r="R415" s="169"/>
    </row>
    <row r="416" customFormat="false" ht="15" hidden="false" customHeight="false" outlineLevel="0" collapsed="false">
      <c r="A416" s="23" t="n">
        <v>415</v>
      </c>
      <c r="B416" s="23" t="s">
        <v>45</v>
      </c>
      <c r="C416" s="43" t="s">
        <v>46</v>
      </c>
      <c r="D416" s="134" t="s">
        <v>503</v>
      </c>
      <c r="E416" s="134" t="s">
        <v>507</v>
      </c>
      <c r="F416" s="23" t="n">
        <v>338</v>
      </c>
      <c r="G416" s="161" t="s">
        <v>1482</v>
      </c>
      <c r="H416" s="162" t="s">
        <v>7</v>
      </c>
      <c r="I416" s="163" t="s">
        <v>13</v>
      </c>
      <c r="J416" s="164" t="s">
        <v>649</v>
      </c>
      <c r="K416" s="23"/>
      <c r="L416" s="165" t="s">
        <v>1483</v>
      </c>
      <c r="M416" s="166" t="s">
        <v>656</v>
      </c>
      <c r="N416" s="167"/>
      <c r="O416" s="166" t="n">
        <v>0</v>
      </c>
      <c r="P416" s="168" t="str">
        <f aca="false">IF(N416="","",N416+CHOOSE(MIN(O416,3)+1,3,7,21,45))</f>
        <v/>
      </c>
      <c r="Q416" s="166"/>
      <c r="R416" s="169"/>
    </row>
    <row r="417" customFormat="false" ht="15" hidden="false" customHeight="false" outlineLevel="0" collapsed="false">
      <c r="A417" s="23" t="n">
        <v>416</v>
      </c>
      <c r="B417" s="23" t="s">
        <v>45</v>
      </c>
      <c r="C417" s="43" t="s">
        <v>46</v>
      </c>
      <c r="D417" s="134" t="s">
        <v>503</v>
      </c>
      <c r="E417" s="134" t="s">
        <v>507</v>
      </c>
      <c r="F417" s="23" t="n">
        <v>190</v>
      </c>
      <c r="G417" s="161" t="s">
        <v>1484</v>
      </c>
      <c r="H417" s="162" t="s">
        <v>7</v>
      </c>
      <c r="I417" s="163" t="s">
        <v>13</v>
      </c>
      <c r="J417" s="164" t="s">
        <v>649</v>
      </c>
      <c r="K417" s="23"/>
      <c r="L417" s="165" t="s">
        <v>1485</v>
      </c>
      <c r="M417" s="166" t="s">
        <v>656</v>
      </c>
      <c r="N417" s="167"/>
      <c r="O417" s="166" t="n">
        <v>0</v>
      </c>
      <c r="P417" s="168" t="str">
        <f aca="false">IF(N417="","",N417+CHOOSE(MIN(O417,3)+1,3,7,21,45))</f>
        <v/>
      </c>
      <c r="Q417" s="166"/>
      <c r="R417" s="169"/>
    </row>
    <row r="418" customFormat="false" ht="15" hidden="false" customHeight="false" outlineLevel="0" collapsed="false">
      <c r="A418" s="23" t="n">
        <v>417</v>
      </c>
      <c r="B418" s="23" t="s">
        <v>45</v>
      </c>
      <c r="C418" s="43" t="s">
        <v>46</v>
      </c>
      <c r="D418" s="134" t="s">
        <v>503</v>
      </c>
      <c r="E418" s="134" t="s">
        <v>507</v>
      </c>
      <c r="F418" s="23" t="n">
        <v>231</v>
      </c>
      <c r="G418" s="161" t="s">
        <v>1486</v>
      </c>
      <c r="H418" s="162" t="s">
        <v>7</v>
      </c>
      <c r="I418" s="171" t="s">
        <v>653</v>
      </c>
      <c r="J418" s="172" t="s">
        <v>654</v>
      </c>
      <c r="K418" s="23"/>
      <c r="L418" s="165" t="s">
        <v>1487</v>
      </c>
      <c r="M418" s="166" t="s">
        <v>656</v>
      </c>
      <c r="N418" s="167"/>
      <c r="O418" s="166" t="n">
        <v>0</v>
      </c>
      <c r="P418" s="168" t="str">
        <f aca="false">IF(N418="","",N418+CHOOSE(MIN(O418,3)+1,3,7,21,45))</f>
        <v/>
      </c>
      <c r="Q418" s="166"/>
      <c r="R418" s="169"/>
    </row>
    <row r="419" customFormat="false" ht="15" hidden="false" customHeight="false" outlineLevel="0" collapsed="false">
      <c r="A419" s="23" t="n">
        <v>418</v>
      </c>
      <c r="B419" s="23" t="s">
        <v>45</v>
      </c>
      <c r="C419" s="43" t="s">
        <v>46</v>
      </c>
      <c r="D419" s="134" t="s">
        <v>503</v>
      </c>
      <c r="E419" s="134" t="s">
        <v>507</v>
      </c>
      <c r="F419" s="23" t="n">
        <v>461</v>
      </c>
      <c r="G419" s="161" t="s">
        <v>1488</v>
      </c>
      <c r="H419" s="162" t="s">
        <v>7</v>
      </c>
      <c r="I419" s="171" t="s">
        <v>653</v>
      </c>
      <c r="J419" s="172" t="s">
        <v>654</v>
      </c>
      <c r="K419" s="23"/>
      <c r="L419" s="165" t="s">
        <v>1489</v>
      </c>
      <c r="M419" s="166" t="s">
        <v>656</v>
      </c>
      <c r="N419" s="167"/>
      <c r="O419" s="166" t="n">
        <v>0</v>
      </c>
      <c r="P419" s="168" t="str">
        <f aca="false">IF(N419="","",N419+CHOOSE(MIN(O419,3)+1,3,7,21,45))</f>
        <v/>
      </c>
      <c r="Q419" s="166"/>
      <c r="R419" s="169"/>
    </row>
    <row r="420" customFormat="false" ht="15" hidden="false" customHeight="false" outlineLevel="0" collapsed="false">
      <c r="A420" s="23" t="n">
        <v>419</v>
      </c>
      <c r="B420" s="23" t="s">
        <v>45</v>
      </c>
      <c r="C420" s="43" t="s">
        <v>46</v>
      </c>
      <c r="D420" s="134" t="s">
        <v>503</v>
      </c>
      <c r="E420" s="134" t="s">
        <v>507</v>
      </c>
      <c r="F420" s="23" t="n">
        <v>1318</v>
      </c>
      <c r="G420" s="161" t="s">
        <v>1490</v>
      </c>
      <c r="H420" s="170" t="s">
        <v>9</v>
      </c>
      <c r="I420" s="171" t="s">
        <v>653</v>
      </c>
      <c r="J420" s="172" t="s">
        <v>654</v>
      </c>
      <c r="K420" s="23"/>
      <c r="L420" s="165" t="s">
        <v>1491</v>
      </c>
      <c r="M420" s="166" t="s">
        <v>656</v>
      </c>
      <c r="N420" s="167"/>
      <c r="O420" s="166" t="n">
        <v>0</v>
      </c>
      <c r="P420" s="168" t="str">
        <f aca="false">IF(N420="","",N420+CHOOSE(MIN(O420,3)+1,3,7,21,45))</f>
        <v/>
      </c>
      <c r="Q420" s="166"/>
      <c r="R420" s="169"/>
    </row>
    <row r="421" customFormat="false" ht="15" hidden="false" customHeight="false" outlineLevel="0" collapsed="false">
      <c r="A421" s="23" t="n">
        <v>420</v>
      </c>
      <c r="B421" s="23" t="s">
        <v>45</v>
      </c>
      <c r="C421" s="43" t="s">
        <v>46</v>
      </c>
      <c r="D421" s="134" t="s">
        <v>503</v>
      </c>
      <c r="E421" s="134" t="s">
        <v>511</v>
      </c>
      <c r="F421" s="23" t="n">
        <v>371</v>
      </c>
      <c r="G421" s="161" t="s">
        <v>1492</v>
      </c>
      <c r="H421" s="170" t="s">
        <v>9</v>
      </c>
      <c r="I421" s="163" t="s">
        <v>13</v>
      </c>
      <c r="J421" s="164" t="s">
        <v>649</v>
      </c>
      <c r="K421" s="23"/>
      <c r="L421" s="165" t="s">
        <v>1493</v>
      </c>
      <c r="M421" s="166" t="s">
        <v>656</v>
      </c>
      <c r="N421" s="167"/>
      <c r="O421" s="166" t="n">
        <v>0</v>
      </c>
      <c r="P421" s="168" t="str">
        <f aca="false">IF(N421="","",N421+CHOOSE(MIN(O421,3)+1,3,7,21,45))</f>
        <v/>
      </c>
      <c r="Q421" s="166"/>
      <c r="R421" s="169"/>
    </row>
    <row r="422" customFormat="false" ht="15" hidden="false" customHeight="false" outlineLevel="0" collapsed="false">
      <c r="A422" s="23" t="n">
        <v>421</v>
      </c>
      <c r="B422" s="23" t="s">
        <v>45</v>
      </c>
      <c r="C422" s="43" t="s">
        <v>46</v>
      </c>
      <c r="D422" s="134" t="s">
        <v>503</v>
      </c>
      <c r="E422" s="134" t="s">
        <v>511</v>
      </c>
      <c r="F422" s="23" t="n">
        <v>7</v>
      </c>
      <c r="G422" s="161" t="s">
        <v>1494</v>
      </c>
      <c r="H422" s="170" t="s">
        <v>9</v>
      </c>
      <c r="I422" s="173" t="s">
        <v>668</v>
      </c>
      <c r="J422" s="174" t="s">
        <v>669</v>
      </c>
      <c r="K422" s="23"/>
      <c r="L422" s="165" t="s">
        <v>1495</v>
      </c>
      <c r="M422" s="166" t="s">
        <v>656</v>
      </c>
      <c r="N422" s="167"/>
      <c r="O422" s="166" t="n">
        <v>0</v>
      </c>
      <c r="P422" s="168" t="str">
        <f aca="false">IF(N422="","",N422+CHOOSE(MIN(O422,3)+1,3,7,21,45))</f>
        <v/>
      </c>
      <c r="Q422" s="166"/>
      <c r="R422" s="169"/>
    </row>
    <row r="423" customFormat="false" ht="15" hidden="false" customHeight="false" outlineLevel="0" collapsed="false">
      <c r="A423" s="23" t="n">
        <v>422</v>
      </c>
      <c r="B423" s="23" t="s">
        <v>45</v>
      </c>
      <c r="C423" s="43" t="s">
        <v>46</v>
      </c>
      <c r="D423" s="134" t="s">
        <v>503</v>
      </c>
      <c r="E423" s="134" t="s">
        <v>511</v>
      </c>
      <c r="F423" s="23" t="n">
        <v>29</v>
      </c>
      <c r="G423" s="161" t="s">
        <v>1496</v>
      </c>
      <c r="H423" s="170" t="s">
        <v>9</v>
      </c>
      <c r="I423" s="171" t="s">
        <v>653</v>
      </c>
      <c r="J423" s="172" t="s">
        <v>654</v>
      </c>
      <c r="K423" s="23"/>
      <c r="L423" s="165" t="s">
        <v>1497</v>
      </c>
      <c r="M423" s="166" t="s">
        <v>656</v>
      </c>
      <c r="N423" s="167"/>
      <c r="O423" s="166" t="n">
        <v>0</v>
      </c>
      <c r="P423" s="168" t="str">
        <f aca="false">IF(N423="","",N423+CHOOSE(MIN(O423,3)+1,3,7,21,45))</f>
        <v/>
      </c>
      <c r="Q423" s="166"/>
      <c r="R423" s="169"/>
    </row>
    <row r="424" customFormat="false" ht="15" hidden="false" customHeight="false" outlineLevel="0" collapsed="false">
      <c r="A424" s="23" t="n">
        <v>423</v>
      </c>
      <c r="B424" s="23" t="s">
        <v>45</v>
      </c>
      <c r="C424" s="43" t="s">
        <v>46</v>
      </c>
      <c r="D424" s="134" t="s">
        <v>503</v>
      </c>
      <c r="E424" s="134" t="s">
        <v>511</v>
      </c>
      <c r="F424" s="23" t="n">
        <v>201</v>
      </c>
      <c r="G424" s="161" t="s">
        <v>1498</v>
      </c>
      <c r="H424" s="170" t="s">
        <v>9</v>
      </c>
      <c r="I424" s="171" t="s">
        <v>653</v>
      </c>
      <c r="J424" s="172" t="s">
        <v>654</v>
      </c>
      <c r="K424" s="23"/>
      <c r="L424" s="165" t="s">
        <v>1499</v>
      </c>
      <c r="M424" s="166" t="s">
        <v>656</v>
      </c>
      <c r="N424" s="167"/>
      <c r="O424" s="166" t="n">
        <v>0</v>
      </c>
      <c r="P424" s="168" t="str">
        <f aca="false">IF(N424="","",N424+CHOOSE(MIN(O424,3)+1,3,7,21,45))</f>
        <v/>
      </c>
      <c r="Q424" s="166"/>
      <c r="R424" s="169"/>
    </row>
    <row r="425" customFormat="false" ht="23.85" hidden="false" customHeight="false" outlineLevel="0" collapsed="false">
      <c r="A425" s="23" t="n">
        <v>424</v>
      </c>
      <c r="B425" s="23" t="s">
        <v>77</v>
      </c>
      <c r="C425" s="44" t="s">
        <v>47</v>
      </c>
      <c r="D425" s="139" t="s">
        <v>516</v>
      </c>
      <c r="E425" s="139" t="s">
        <v>517</v>
      </c>
      <c r="F425" s="23" t="n">
        <v>70</v>
      </c>
      <c r="G425" s="161" t="s">
        <v>1500</v>
      </c>
      <c r="H425" s="162" t="s">
        <v>7</v>
      </c>
      <c r="I425" s="163" t="s">
        <v>13</v>
      </c>
      <c r="J425" s="164" t="s">
        <v>649</v>
      </c>
      <c r="K425" s="23"/>
      <c r="L425" s="165" t="s">
        <v>1501</v>
      </c>
      <c r="M425" s="166" t="s">
        <v>656</v>
      </c>
      <c r="N425" s="167"/>
      <c r="O425" s="166" t="n">
        <v>0</v>
      </c>
      <c r="P425" s="168" t="str">
        <f aca="false">IF(N425="","",N425+CHOOSE(MIN(O425,3)+1,3,7,21,45))</f>
        <v/>
      </c>
      <c r="Q425" s="166"/>
      <c r="R425" s="169"/>
    </row>
    <row r="426" customFormat="false" ht="23.85" hidden="false" customHeight="false" outlineLevel="0" collapsed="false">
      <c r="A426" s="23" t="n">
        <v>425</v>
      </c>
      <c r="B426" s="23" t="s">
        <v>77</v>
      </c>
      <c r="C426" s="44" t="s">
        <v>47</v>
      </c>
      <c r="D426" s="139" t="s">
        <v>516</v>
      </c>
      <c r="E426" s="139" t="s">
        <v>517</v>
      </c>
      <c r="F426" s="23" t="n">
        <v>746</v>
      </c>
      <c r="G426" s="161" t="s">
        <v>1502</v>
      </c>
      <c r="H426" s="162" t="s">
        <v>7</v>
      </c>
      <c r="I426" s="173" t="s">
        <v>668</v>
      </c>
      <c r="J426" s="174" t="s">
        <v>669</v>
      </c>
      <c r="K426" s="23"/>
      <c r="L426" s="165" t="s">
        <v>1503</v>
      </c>
      <c r="M426" s="166" t="s">
        <v>656</v>
      </c>
      <c r="N426" s="167"/>
      <c r="O426" s="166" t="n">
        <v>0</v>
      </c>
      <c r="P426" s="168" t="str">
        <f aca="false">IF(N426="","",N426+CHOOSE(MIN(O426,3)+1,3,7,21,45))</f>
        <v/>
      </c>
      <c r="Q426" s="166"/>
      <c r="R426" s="169"/>
    </row>
    <row r="427" customFormat="false" ht="23.85" hidden="false" customHeight="false" outlineLevel="0" collapsed="false">
      <c r="A427" s="23" t="n">
        <v>426</v>
      </c>
      <c r="B427" s="23" t="s">
        <v>77</v>
      </c>
      <c r="C427" s="44" t="s">
        <v>47</v>
      </c>
      <c r="D427" s="139" t="s">
        <v>516</v>
      </c>
      <c r="E427" s="139" t="s">
        <v>517</v>
      </c>
      <c r="F427" s="23" t="n">
        <v>1137</v>
      </c>
      <c r="G427" s="161" t="s">
        <v>1504</v>
      </c>
      <c r="H427" s="162" t="s">
        <v>7</v>
      </c>
      <c r="I427" s="171" t="s">
        <v>653</v>
      </c>
      <c r="J427" s="172" t="s">
        <v>654</v>
      </c>
      <c r="K427" s="23"/>
      <c r="L427" s="165" t="s">
        <v>1505</v>
      </c>
      <c r="M427" s="166" t="s">
        <v>656</v>
      </c>
      <c r="N427" s="167"/>
      <c r="O427" s="166" t="n">
        <v>0</v>
      </c>
      <c r="P427" s="168" t="str">
        <f aca="false">IF(N427="","",N427+CHOOSE(MIN(O427,3)+1,3,7,21,45))</f>
        <v/>
      </c>
      <c r="Q427" s="166"/>
      <c r="R427" s="169"/>
    </row>
    <row r="428" customFormat="false" ht="23.85" hidden="false" customHeight="false" outlineLevel="0" collapsed="false">
      <c r="A428" s="23" t="n">
        <v>427</v>
      </c>
      <c r="B428" s="23" t="s">
        <v>77</v>
      </c>
      <c r="C428" s="44" t="s">
        <v>47</v>
      </c>
      <c r="D428" s="139" t="s">
        <v>516</v>
      </c>
      <c r="E428" s="139" t="s">
        <v>517</v>
      </c>
      <c r="F428" s="23" t="n">
        <v>198</v>
      </c>
      <c r="G428" s="161" t="s">
        <v>1506</v>
      </c>
      <c r="H428" s="170" t="s">
        <v>9</v>
      </c>
      <c r="I428" s="163" t="s">
        <v>13</v>
      </c>
      <c r="J428" s="164" t="s">
        <v>649</v>
      </c>
      <c r="K428" s="23"/>
      <c r="L428" s="165" t="s">
        <v>1507</v>
      </c>
      <c r="M428" s="166" t="s">
        <v>656</v>
      </c>
      <c r="N428" s="167"/>
      <c r="O428" s="166" t="n">
        <v>0</v>
      </c>
      <c r="P428" s="168" t="str">
        <f aca="false">IF(N428="","",N428+CHOOSE(MIN(O428,3)+1,3,7,21,45))</f>
        <v/>
      </c>
      <c r="Q428" s="166"/>
      <c r="R428" s="169"/>
    </row>
    <row r="429" customFormat="false" ht="23.85" hidden="false" customHeight="false" outlineLevel="0" collapsed="false">
      <c r="A429" s="23" t="n">
        <v>428</v>
      </c>
      <c r="B429" s="23" t="s">
        <v>77</v>
      </c>
      <c r="C429" s="44" t="s">
        <v>47</v>
      </c>
      <c r="D429" s="139" t="s">
        <v>516</v>
      </c>
      <c r="E429" s="139" t="s">
        <v>517</v>
      </c>
      <c r="F429" s="23" t="n">
        <v>213</v>
      </c>
      <c r="G429" s="161" t="s">
        <v>1508</v>
      </c>
      <c r="H429" s="170" t="s">
        <v>9</v>
      </c>
      <c r="I429" s="163" t="s">
        <v>13</v>
      </c>
      <c r="J429" s="164" t="s">
        <v>649</v>
      </c>
      <c r="K429" s="23"/>
      <c r="L429" s="165" t="s">
        <v>1509</v>
      </c>
      <c r="M429" s="166" t="s">
        <v>656</v>
      </c>
      <c r="N429" s="167"/>
      <c r="O429" s="166" t="n">
        <v>0</v>
      </c>
      <c r="P429" s="168" t="str">
        <f aca="false">IF(N429="","",N429+CHOOSE(MIN(O429,3)+1,3,7,21,45))</f>
        <v/>
      </c>
      <c r="Q429" s="166"/>
      <c r="R429" s="169"/>
    </row>
    <row r="430" customFormat="false" ht="23.85" hidden="false" customHeight="false" outlineLevel="0" collapsed="false">
      <c r="A430" s="23" t="n">
        <v>429</v>
      </c>
      <c r="B430" s="23" t="s">
        <v>77</v>
      </c>
      <c r="C430" s="44" t="s">
        <v>47</v>
      </c>
      <c r="D430" s="139" t="s">
        <v>516</v>
      </c>
      <c r="E430" s="139" t="s">
        <v>517</v>
      </c>
      <c r="F430" s="23" t="n">
        <v>740</v>
      </c>
      <c r="G430" s="161" t="s">
        <v>1510</v>
      </c>
      <c r="H430" s="170" t="s">
        <v>9</v>
      </c>
      <c r="I430" s="171" t="s">
        <v>653</v>
      </c>
      <c r="J430" s="172" t="s">
        <v>654</v>
      </c>
      <c r="K430" s="23"/>
      <c r="L430" s="165" t="s">
        <v>1511</v>
      </c>
      <c r="M430" s="166" t="s">
        <v>656</v>
      </c>
      <c r="N430" s="167"/>
      <c r="O430" s="166" t="n">
        <v>0</v>
      </c>
      <c r="P430" s="168" t="str">
        <f aca="false">IF(N430="","",N430+CHOOSE(MIN(O430,3)+1,3,7,21,45))</f>
        <v/>
      </c>
      <c r="Q430" s="166"/>
      <c r="R430" s="169"/>
    </row>
    <row r="431" customFormat="false" ht="23.85" hidden="false" customHeight="false" outlineLevel="0" collapsed="false">
      <c r="A431" s="23" t="n">
        <v>430</v>
      </c>
      <c r="B431" s="23" t="s">
        <v>77</v>
      </c>
      <c r="C431" s="44" t="s">
        <v>47</v>
      </c>
      <c r="D431" s="139" t="s">
        <v>516</v>
      </c>
      <c r="E431" s="139" t="s">
        <v>517</v>
      </c>
      <c r="F431" s="23" t="n">
        <v>790</v>
      </c>
      <c r="G431" s="161" t="s">
        <v>1512</v>
      </c>
      <c r="H431" s="170" t="s">
        <v>9</v>
      </c>
      <c r="I431" s="171" t="s">
        <v>653</v>
      </c>
      <c r="J431" s="172" t="s">
        <v>654</v>
      </c>
      <c r="K431" s="23"/>
      <c r="L431" s="165" t="s">
        <v>1513</v>
      </c>
      <c r="M431" s="166" t="s">
        <v>656</v>
      </c>
      <c r="N431" s="167"/>
      <c r="O431" s="166" t="n">
        <v>0</v>
      </c>
      <c r="P431" s="168" t="str">
        <f aca="false">IF(N431="","",N431+CHOOSE(MIN(O431,3)+1,3,7,21,45))</f>
        <v/>
      </c>
      <c r="Q431" s="166"/>
      <c r="R431" s="169"/>
    </row>
    <row r="432" customFormat="false" ht="23.85" hidden="false" customHeight="false" outlineLevel="0" collapsed="false">
      <c r="A432" s="23" t="n">
        <v>431</v>
      </c>
      <c r="B432" s="23" t="s">
        <v>77</v>
      </c>
      <c r="C432" s="44" t="s">
        <v>47</v>
      </c>
      <c r="D432" s="139" t="s">
        <v>516</v>
      </c>
      <c r="E432" s="139" t="s">
        <v>517</v>
      </c>
      <c r="F432" s="23" t="n">
        <v>2140</v>
      </c>
      <c r="G432" s="161" t="s">
        <v>1514</v>
      </c>
      <c r="H432" s="170" t="s">
        <v>9</v>
      </c>
      <c r="I432" s="171" t="s">
        <v>653</v>
      </c>
      <c r="J432" s="172" t="s">
        <v>654</v>
      </c>
      <c r="K432" s="23"/>
      <c r="L432" s="165" t="s">
        <v>1515</v>
      </c>
      <c r="M432" s="166" t="s">
        <v>656</v>
      </c>
      <c r="N432" s="167"/>
      <c r="O432" s="166" t="n">
        <v>0</v>
      </c>
      <c r="P432" s="168" t="str">
        <f aca="false">IF(N432="","",N432+CHOOSE(MIN(O432,3)+1,3,7,21,45))</f>
        <v/>
      </c>
      <c r="Q432" s="166"/>
      <c r="R432" s="169"/>
    </row>
    <row r="433" customFormat="false" ht="23.85" hidden="false" customHeight="false" outlineLevel="0" collapsed="false">
      <c r="A433" s="23" t="n">
        <v>432</v>
      </c>
      <c r="B433" s="23" t="s">
        <v>77</v>
      </c>
      <c r="C433" s="44" t="s">
        <v>47</v>
      </c>
      <c r="D433" s="139" t="s">
        <v>516</v>
      </c>
      <c r="E433" s="139" t="s">
        <v>520</v>
      </c>
      <c r="F433" s="23" t="n">
        <v>91</v>
      </c>
      <c r="G433" s="161" t="s">
        <v>1516</v>
      </c>
      <c r="H433" s="170" t="s">
        <v>9</v>
      </c>
      <c r="I433" s="163" t="s">
        <v>13</v>
      </c>
      <c r="J433" s="164" t="s">
        <v>649</v>
      </c>
      <c r="K433" s="23"/>
      <c r="L433" s="165" t="s">
        <v>1517</v>
      </c>
      <c r="M433" s="166" t="s">
        <v>656</v>
      </c>
      <c r="N433" s="167"/>
      <c r="O433" s="166" t="n">
        <v>0</v>
      </c>
      <c r="P433" s="168" t="str">
        <f aca="false">IF(N433="","",N433+CHOOSE(MIN(O433,3)+1,3,7,21,45))</f>
        <v/>
      </c>
      <c r="Q433" s="166"/>
      <c r="R433" s="169"/>
    </row>
    <row r="434" customFormat="false" ht="23.85" hidden="false" customHeight="false" outlineLevel="0" collapsed="false">
      <c r="A434" s="23" t="n">
        <v>433</v>
      </c>
      <c r="B434" s="23" t="s">
        <v>77</v>
      </c>
      <c r="C434" s="44" t="s">
        <v>47</v>
      </c>
      <c r="D434" s="139" t="s">
        <v>516</v>
      </c>
      <c r="E434" s="139" t="s">
        <v>520</v>
      </c>
      <c r="F434" s="23" t="n">
        <v>139</v>
      </c>
      <c r="G434" s="161" t="s">
        <v>1518</v>
      </c>
      <c r="H434" s="170" t="s">
        <v>9</v>
      </c>
      <c r="I434" s="163" t="s">
        <v>13</v>
      </c>
      <c r="J434" s="164" t="s">
        <v>649</v>
      </c>
      <c r="K434" s="23"/>
      <c r="L434" s="165" t="s">
        <v>1519</v>
      </c>
      <c r="M434" s="166" t="s">
        <v>656</v>
      </c>
      <c r="N434" s="167"/>
      <c r="O434" s="166" t="n">
        <v>0</v>
      </c>
      <c r="P434" s="168" t="str">
        <f aca="false">IF(N434="","",N434+CHOOSE(MIN(O434,3)+1,3,7,21,45))</f>
        <v/>
      </c>
      <c r="Q434" s="166"/>
      <c r="R434" s="169"/>
    </row>
    <row r="435" customFormat="false" ht="23.85" hidden="false" customHeight="false" outlineLevel="0" collapsed="false">
      <c r="A435" s="23" t="n">
        <v>434</v>
      </c>
      <c r="B435" s="23" t="s">
        <v>77</v>
      </c>
      <c r="C435" s="44" t="s">
        <v>47</v>
      </c>
      <c r="D435" s="139" t="s">
        <v>516</v>
      </c>
      <c r="E435" s="139" t="s">
        <v>520</v>
      </c>
      <c r="F435" s="23" t="n">
        <v>377</v>
      </c>
      <c r="G435" s="161" t="s">
        <v>1520</v>
      </c>
      <c r="H435" s="170" t="s">
        <v>9</v>
      </c>
      <c r="I435" s="163" t="s">
        <v>13</v>
      </c>
      <c r="J435" s="164" t="s">
        <v>649</v>
      </c>
      <c r="K435" s="23"/>
      <c r="L435" s="165" t="s">
        <v>1521</v>
      </c>
      <c r="M435" s="166" t="s">
        <v>656</v>
      </c>
      <c r="N435" s="167"/>
      <c r="O435" s="166" t="n">
        <v>0</v>
      </c>
      <c r="P435" s="168" t="str">
        <f aca="false">IF(N435="","",N435+CHOOSE(MIN(O435,3)+1,3,7,21,45))</f>
        <v/>
      </c>
      <c r="Q435" s="166"/>
      <c r="R435" s="169"/>
    </row>
    <row r="436" customFormat="false" ht="23.85" hidden="false" customHeight="false" outlineLevel="0" collapsed="false">
      <c r="A436" s="23" t="n">
        <v>435</v>
      </c>
      <c r="B436" s="23" t="s">
        <v>77</v>
      </c>
      <c r="C436" s="44" t="s">
        <v>47</v>
      </c>
      <c r="D436" s="139" t="s">
        <v>516</v>
      </c>
      <c r="E436" s="139" t="s">
        <v>520</v>
      </c>
      <c r="F436" s="23" t="n">
        <v>140</v>
      </c>
      <c r="G436" s="161" t="s">
        <v>1522</v>
      </c>
      <c r="H436" s="175" t="s">
        <v>11</v>
      </c>
      <c r="I436" s="171" t="s">
        <v>653</v>
      </c>
      <c r="J436" s="172" t="s">
        <v>654</v>
      </c>
      <c r="K436" s="23"/>
      <c r="L436" s="165" t="s">
        <v>1523</v>
      </c>
      <c r="M436" s="166" t="s">
        <v>656</v>
      </c>
      <c r="N436" s="167"/>
      <c r="O436" s="166" t="n">
        <v>0</v>
      </c>
      <c r="P436" s="168" t="str">
        <f aca="false">IF(N436="","",N436+CHOOSE(MIN(O436,3)+1,3,7,21,45))</f>
        <v/>
      </c>
      <c r="Q436" s="166"/>
      <c r="R436" s="169"/>
    </row>
    <row r="437" customFormat="false" ht="23.85" hidden="false" customHeight="false" outlineLevel="0" collapsed="false">
      <c r="A437" s="23" t="n">
        <v>436</v>
      </c>
      <c r="B437" s="23" t="s">
        <v>77</v>
      </c>
      <c r="C437" s="44" t="s">
        <v>47</v>
      </c>
      <c r="D437" s="139" t="s">
        <v>523</v>
      </c>
      <c r="E437" s="139" t="s">
        <v>524</v>
      </c>
      <c r="F437" s="23" t="n">
        <v>62</v>
      </c>
      <c r="G437" s="161" t="s">
        <v>1524</v>
      </c>
      <c r="H437" s="170" t="s">
        <v>9</v>
      </c>
      <c r="I437" s="163" t="s">
        <v>13</v>
      </c>
      <c r="J437" s="164" t="s">
        <v>649</v>
      </c>
      <c r="K437" s="23"/>
      <c r="L437" s="165" t="s">
        <v>1525</v>
      </c>
      <c r="M437" s="166" t="s">
        <v>656</v>
      </c>
      <c r="N437" s="167"/>
      <c r="O437" s="166" t="n">
        <v>0</v>
      </c>
      <c r="P437" s="168" t="str">
        <f aca="false">IF(N437="","",N437+CHOOSE(MIN(O437,3)+1,3,7,21,45))</f>
        <v/>
      </c>
      <c r="Q437" s="166"/>
      <c r="R437" s="169"/>
    </row>
    <row r="438" customFormat="false" ht="23.85" hidden="false" customHeight="false" outlineLevel="0" collapsed="false">
      <c r="A438" s="23" t="n">
        <v>437</v>
      </c>
      <c r="B438" s="23" t="s">
        <v>77</v>
      </c>
      <c r="C438" s="44" t="s">
        <v>47</v>
      </c>
      <c r="D438" s="139" t="s">
        <v>523</v>
      </c>
      <c r="E438" s="139" t="s">
        <v>524</v>
      </c>
      <c r="F438" s="23" t="n">
        <v>63</v>
      </c>
      <c r="G438" s="161" t="s">
        <v>1526</v>
      </c>
      <c r="H438" s="170" t="s">
        <v>9</v>
      </c>
      <c r="I438" s="171" t="s">
        <v>653</v>
      </c>
      <c r="J438" s="172" t="s">
        <v>654</v>
      </c>
      <c r="K438" s="23"/>
      <c r="L438" s="165" t="s">
        <v>1527</v>
      </c>
      <c r="M438" s="166" t="s">
        <v>656</v>
      </c>
      <c r="N438" s="167"/>
      <c r="O438" s="166" t="n">
        <v>0</v>
      </c>
      <c r="P438" s="168" t="str">
        <f aca="false">IF(N438="","",N438+CHOOSE(MIN(O438,3)+1,3,7,21,45))</f>
        <v/>
      </c>
      <c r="Q438" s="166"/>
      <c r="R438" s="169"/>
    </row>
    <row r="439" customFormat="false" ht="23.85" hidden="false" customHeight="false" outlineLevel="0" collapsed="false">
      <c r="A439" s="23" t="n">
        <v>438</v>
      </c>
      <c r="B439" s="23" t="s">
        <v>77</v>
      </c>
      <c r="C439" s="44" t="s">
        <v>47</v>
      </c>
      <c r="D439" s="139" t="s">
        <v>523</v>
      </c>
      <c r="E439" s="139" t="s">
        <v>524</v>
      </c>
      <c r="F439" s="23" t="n">
        <v>64</v>
      </c>
      <c r="G439" s="161" t="s">
        <v>1528</v>
      </c>
      <c r="H439" s="170" t="s">
        <v>9</v>
      </c>
      <c r="I439" s="176" t="s">
        <v>15</v>
      </c>
      <c r="J439" s="174" t="s">
        <v>669</v>
      </c>
      <c r="K439" s="23"/>
      <c r="L439" s="165" t="s">
        <v>1529</v>
      </c>
      <c r="M439" s="166" t="s">
        <v>656</v>
      </c>
      <c r="N439" s="167"/>
      <c r="O439" s="166" t="n">
        <v>0</v>
      </c>
      <c r="P439" s="168" t="str">
        <f aca="false">IF(N439="","",N439+CHOOSE(MIN(O439,3)+1,3,7,21,45))</f>
        <v/>
      </c>
      <c r="Q439" s="166"/>
      <c r="R439" s="169"/>
    </row>
    <row r="440" customFormat="false" ht="23.85" hidden="false" customHeight="false" outlineLevel="0" collapsed="false">
      <c r="A440" s="23" t="n">
        <v>439</v>
      </c>
      <c r="B440" s="23" t="s">
        <v>77</v>
      </c>
      <c r="C440" s="44" t="s">
        <v>47</v>
      </c>
      <c r="D440" s="139" t="s">
        <v>523</v>
      </c>
      <c r="E440" s="139" t="s">
        <v>524</v>
      </c>
      <c r="F440" s="23" t="n">
        <v>120</v>
      </c>
      <c r="G440" s="161" t="s">
        <v>1530</v>
      </c>
      <c r="H440" s="170" t="s">
        <v>9</v>
      </c>
      <c r="I440" s="171" t="s">
        <v>653</v>
      </c>
      <c r="J440" s="172" t="s">
        <v>654</v>
      </c>
      <c r="K440" s="23"/>
      <c r="L440" s="165" t="s">
        <v>1531</v>
      </c>
      <c r="M440" s="166" t="s">
        <v>656</v>
      </c>
      <c r="N440" s="167"/>
      <c r="O440" s="166" t="n">
        <v>0</v>
      </c>
      <c r="P440" s="168" t="str">
        <f aca="false">IF(N440="","",N440+CHOOSE(MIN(O440,3)+1,3,7,21,45))</f>
        <v/>
      </c>
      <c r="Q440" s="166"/>
      <c r="R440" s="169"/>
    </row>
    <row r="441" customFormat="false" ht="23.85" hidden="false" customHeight="false" outlineLevel="0" collapsed="false">
      <c r="A441" s="23" t="n">
        <v>440</v>
      </c>
      <c r="B441" s="23" t="s">
        <v>77</v>
      </c>
      <c r="C441" s="44" t="s">
        <v>47</v>
      </c>
      <c r="D441" s="139" t="s">
        <v>523</v>
      </c>
      <c r="E441" s="139" t="s">
        <v>524</v>
      </c>
      <c r="F441" s="23" t="n">
        <v>931</v>
      </c>
      <c r="G441" s="161" t="s">
        <v>1532</v>
      </c>
      <c r="H441" s="170" t="s">
        <v>9</v>
      </c>
      <c r="I441" s="171" t="s">
        <v>653</v>
      </c>
      <c r="J441" s="172" t="s">
        <v>654</v>
      </c>
      <c r="K441" s="23"/>
      <c r="L441" s="165" t="s">
        <v>1533</v>
      </c>
      <c r="M441" s="166" t="s">
        <v>656</v>
      </c>
      <c r="N441" s="167"/>
      <c r="O441" s="166" t="n">
        <v>0</v>
      </c>
      <c r="P441" s="168" t="str">
        <f aca="false">IF(N441="","",N441+CHOOSE(MIN(O441,3)+1,3,7,21,45))</f>
        <v/>
      </c>
      <c r="Q441" s="166"/>
      <c r="R441" s="169"/>
    </row>
    <row r="442" customFormat="false" ht="23.85" hidden="false" customHeight="false" outlineLevel="0" collapsed="false">
      <c r="A442" s="23" t="n">
        <v>441</v>
      </c>
      <c r="B442" s="23" t="s">
        <v>77</v>
      </c>
      <c r="C442" s="44" t="s">
        <v>47</v>
      </c>
      <c r="D442" s="139" t="s">
        <v>523</v>
      </c>
      <c r="E442" s="139" t="s">
        <v>524</v>
      </c>
      <c r="F442" s="23" t="n">
        <v>221</v>
      </c>
      <c r="G442" s="161" t="s">
        <v>1534</v>
      </c>
      <c r="H442" s="170" t="s">
        <v>9</v>
      </c>
      <c r="I442" s="176" t="s">
        <v>15</v>
      </c>
      <c r="J442" s="174" t="s">
        <v>669</v>
      </c>
      <c r="K442" s="23"/>
      <c r="L442" s="165" t="s">
        <v>1535</v>
      </c>
      <c r="M442" s="166" t="s">
        <v>656</v>
      </c>
      <c r="N442" s="167"/>
      <c r="O442" s="166" t="n">
        <v>0</v>
      </c>
      <c r="P442" s="168" t="str">
        <f aca="false">IF(N442="","",N442+CHOOSE(MIN(O442,3)+1,3,7,21,45))</f>
        <v/>
      </c>
      <c r="Q442" s="166"/>
      <c r="R442" s="169"/>
    </row>
    <row r="443" customFormat="false" ht="23.85" hidden="false" customHeight="false" outlineLevel="0" collapsed="false">
      <c r="A443" s="23" t="n">
        <v>442</v>
      </c>
      <c r="B443" s="23" t="s">
        <v>77</v>
      </c>
      <c r="C443" s="44" t="s">
        <v>47</v>
      </c>
      <c r="D443" s="139" t="s">
        <v>523</v>
      </c>
      <c r="E443" s="139" t="s">
        <v>524</v>
      </c>
      <c r="F443" s="23" t="n">
        <v>174</v>
      </c>
      <c r="G443" s="161" t="s">
        <v>1536</v>
      </c>
      <c r="H443" s="175" t="s">
        <v>11</v>
      </c>
      <c r="I443" s="171" t="s">
        <v>653</v>
      </c>
      <c r="J443" s="172" t="s">
        <v>654</v>
      </c>
      <c r="K443" s="23"/>
      <c r="L443" s="165" t="s">
        <v>1537</v>
      </c>
      <c r="M443" s="166" t="s">
        <v>656</v>
      </c>
      <c r="N443" s="167"/>
      <c r="O443" s="166" t="n">
        <v>0</v>
      </c>
      <c r="P443" s="168" t="str">
        <f aca="false">IF(N443="","",N443+CHOOSE(MIN(O443,3)+1,3,7,21,45))</f>
        <v/>
      </c>
      <c r="Q443" s="166"/>
      <c r="R443" s="169"/>
    </row>
    <row r="444" customFormat="false" ht="23.85" hidden="false" customHeight="false" outlineLevel="0" collapsed="false">
      <c r="A444" s="23" t="n">
        <v>443</v>
      </c>
      <c r="B444" s="23" t="s">
        <v>77</v>
      </c>
      <c r="C444" s="44" t="s">
        <v>47</v>
      </c>
      <c r="D444" s="139" t="s">
        <v>523</v>
      </c>
      <c r="E444" s="139" t="s">
        <v>527</v>
      </c>
      <c r="F444" s="23" t="n">
        <v>1463</v>
      </c>
      <c r="G444" s="161" t="s">
        <v>1538</v>
      </c>
      <c r="H444" s="175" t="s">
        <v>11</v>
      </c>
      <c r="I444" s="171" t="s">
        <v>653</v>
      </c>
      <c r="J444" s="172" t="s">
        <v>654</v>
      </c>
      <c r="K444" s="23"/>
      <c r="L444" s="165" t="s">
        <v>1539</v>
      </c>
      <c r="M444" s="166" t="s">
        <v>656</v>
      </c>
      <c r="N444" s="167"/>
      <c r="O444" s="166" t="n">
        <v>0</v>
      </c>
      <c r="P444" s="168" t="str">
        <f aca="false">IF(N444="","",N444+CHOOSE(MIN(O444,3)+1,3,7,21,45))</f>
        <v/>
      </c>
      <c r="Q444" s="166"/>
      <c r="R444" s="169"/>
    </row>
    <row r="445" customFormat="false" ht="23.85" hidden="false" customHeight="false" outlineLevel="0" collapsed="false">
      <c r="A445" s="23" t="n">
        <v>444</v>
      </c>
      <c r="B445" s="23" t="s">
        <v>77</v>
      </c>
      <c r="C445" s="44" t="s">
        <v>47</v>
      </c>
      <c r="D445" s="139" t="s">
        <v>523</v>
      </c>
      <c r="E445" s="139" t="s">
        <v>527</v>
      </c>
      <c r="F445" s="23" t="n">
        <v>741</v>
      </c>
      <c r="G445" s="161" t="s">
        <v>1540</v>
      </c>
      <c r="H445" s="175" t="s">
        <v>11</v>
      </c>
      <c r="I445" s="171" t="s">
        <v>653</v>
      </c>
      <c r="J445" s="172" t="s">
        <v>654</v>
      </c>
      <c r="K445" s="23"/>
      <c r="L445" s="165" t="s">
        <v>1541</v>
      </c>
      <c r="M445" s="166" t="s">
        <v>656</v>
      </c>
      <c r="N445" s="167"/>
      <c r="O445" s="166" t="n">
        <v>0</v>
      </c>
      <c r="P445" s="168" t="str">
        <f aca="false">IF(N445="","",N445+CHOOSE(MIN(O445,3)+1,3,7,21,45))</f>
        <v/>
      </c>
      <c r="Q445" s="166"/>
      <c r="R445" s="169"/>
    </row>
    <row r="446" customFormat="false" ht="23.85" hidden="false" customHeight="false" outlineLevel="0" collapsed="false">
      <c r="A446" s="23" t="n">
        <v>445</v>
      </c>
      <c r="B446" s="23" t="s">
        <v>77</v>
      </c>
      <c r="C446" s="44" t="s">
        <v>47</v>
      </c>
      <c r="D446" s="139" t="s">
        <v>523</v>
      </c>
      <c r="E446" s="139" t="s">
        <v>531</v>
      </c>
      <c r="F446" s="23" t="n">
        <v>576</v>
      </c>
      <c r="G446" s="161" t="s">
        <v>1542</v>
      </c>
      <c r="H446" s="170" t="s">
        <v>9</v>
      </c>
      <c r="I446" s="171" t="s">
        <v>653</v>
      </c>
      <c r="J446" s="172" t="s">
        <v>654</v>
      </c>
      <c r="K446" s="23"/>
      <c r="L446" s="165" t="s">
        <v>1543</v>
      </c>
      <c r="M446" s="166" t="s">
        <v>656</v>
      </c>
      <c r="N446" s="167"/>
      <c r="O446" s="166" t="n">
        <v>0</v>
      </c>
      <c r="P446" s="168" t="str">
        <f aca="false">IF(N446="","",N446+CHOOSE(MIN(O446,3)+1,3,7,21,45))</f>
        <v/>
      </c>
      <c r="Q446" s="166"/>
      <c r="R446" s="169"/>
    </row>
    <row r="447" customFormat="false" ht="23.85" hidden="false" customHeight="false" outlineLevel="0" collapsed="false">
      <c r="A447" s="23" t="n">
        <v>446</v>
      </c>
      <c r="B447" s="23" t="s">
        <v>77</v>
      </c>
      <c r="C447" s="44" t="s">
        <v>47</v>
      </c>
      <c r="D447" s="139" t="s">
        <v>523</v>
      </c>
      <c r="E447" s="139" t="s">
        <v>531</v>
      </c>
      <c r="F447" s="23" t="n">
        <v>688</v>
      </c>
      <c r="G447" s="161" t="s">
        <v>1544</v>
      </c>
      <c r="H447" s="170" t="s">
        <v>9</v>
      </c>
      <c r="I447" s="171" t="s">
        <v>653</v>
      </c>
      <c r="J447" s="172" t="s">
        <v>654</v>
      </c>
      <c r="K447" s="23"/>
      <c r="L447" s="165" t="s">
        <v>1545</v>
      </c>
      <c r="M447" s="166" t="s">
        <v>656</v>
      </c>
      <c r="N447" s="167"/>
      <c r="O447" s="166" t="n">
        <v>0</v>
      </c>
      <c r="P447" s="168" t="str">
        <f aca="false">IF(N447="","",N447+CHOOSE(MIN(O447,3)+1,3,7,21,45))</f>
        <v/>
      </c>
      <c r="Q447" s="166"/>
      <c r="R447" s="169"/>
    </row>
    <row r="448" customFormat="false" ht="23.85" hidden="false" customHeight="false" outlineLevel="0" collapsed="false">
      <c r="A448" s="23" t="n">
        <v>447</v>
      </c>
      <c r="B448" s="23" t="s">
        <v>77</v>
      </c>
      <c r="C448" s="44" t="s">
        <v>47</v>
      </c>
      <c r="D448" s="139" t="s">
        <v>523</v>
      </c>
      <c r="E448" s="139" t="s">
        <v>531</v>
      </c>
      <c r="F448" s="23" t="n">
        <v>329</v>
      </c>
      <c r="G448" s="161" t="s">
        <v>1546</v>
      </c>
      <c r="H448" s="175" t="s">
        <v>11</v>
      </c>
      <c r="I448" s="173" t="s">
        <v>668</v>
      </c>
      <c r="J448" s="174" t="s">
        <v>669</v>
      </c>
      <c r="K448" s="23"/>
      <c r="L448" s="165" t="s">
        <v>1547</v>
      </c>
      <c r="M448" s="166" t="s">
        <v>656</v>
      </c>
      <c r="N448" s="167"/>
      <c r="O448" s="166" t="n">
        <v>0</v>
      </c>
      <c r="P448" s="168" t="str">
        <f aca="false">IF(N448="","",N448+CHOOSE(MIN(O448,3)+1,3,7,21,45))</f>
        <v/>
      </c>
      <c r="Q448" s="166"/>
      <c r="R448" s="169"/>
    </row>
    <row r="449" customFormat="false" ht="23.85" hidden="false" customHeight="false" outlineLevel="0" collapsed="false">
      <c r="A449" s="23" t="n">
        <v>448</v>
      </c>
      <c r="B449" s="23" t="s">
        <v>77</v>
      </c>
      <c r="C449" s="44" t="s">
        <v>47</v>
      </c>
      <c r="D449" s="139" t="s">
        <v>535</v>
      </c>
      <c r="E449" s="139" t="s">
        <v>536</v>
      </c>
      <c r="F449" s="23" t="n">
        <v>416</v>
      </c>
      <c r="G449" s="161" t="s">
        <v>1548</v>
      </c>
      <c r="H449" s="170" t="s">
        <v>9</v>
      </c>
      <c r="I449" s="173" t="s">
        <v>668</v>
      </c>
      <c r="J449" s="174" t="s">
        <v>669</v>
      </c>
      <c r="K449" s="23"/>
      <c r="L449" s="165" t="s">
        <v>1549</v>
      </c>
      <c r="M449" s="166" t="s">
        <v>656</v>
      </c>
      <c r="N449" s="167"/>
      <c r="O449" s="166" t="n">
        <v>0</v>
      </c>
      <c r="P449" s="168" t="str">
        <f aca="false">IF(N449="","",N449+CHOOSE(MIN(O449,3)+1,3,7,21,45))</f>
        <v/>
      </c>
      <c r="Q449" s="166"/>
      <c r="R449" s="169"/>
    </row>
    <row r="450" customFormat="false" ht="23.85" hidden="false" customHeight="false" outlineLevel="0" collapsed="false">
      <c r="A450" s="23" t="n">
        <v>449</v>
      </c>
      <c r="B450" s="23" t="s">
        <v>77</v>
      </c>
      <c r="C450" s="44" t="s">
        <v>47</v>
      </c>
      <c r="D450" s="139" t="s">
        <v>535</v>
      </c>
      <c r="E450" s="139" t="s">
        <v>536</v>
      </c>
      <c r="F450" s="23" t="n">
        <v>494</v>
      </c>
      <c r="G450" s="161" t="s">
        <v>1550</v>
      </c>
      <c r="H450" s="170" t="s">
        <v>9</v>
      </c>
      <c r="I450" s="173" t="s">
        <v>668</v>
      </c>
      <c r="J450" s="174" t="s">
        <v>669</v>
      </c>
      <c r="K450" s="23"/>
      <c r="L450" s="165" t="s">
        <v>1551</v>
      </c>
      <c r="M450" s="166" t="s">
        <v>656</v>
      </c>
      <c r="N450" s="167"/>
      <c r="O450" s="166" t="n">
        <v>0</v>
      </c>
      <c r="P450" s="168" t="str">
        <f aca="false">IF(N450="","",N450+CHOOSE(MIN(O450,3)+1,3,7,21,45))</f>
        <v/>
      </c>
      <c r="Q450" s="166"/>
      <c r="R450" s="169"/>
    </row>
    <row r="451" customFormat="false" ht="23.85" hidden="false" customHeight="false" outlineLevel="0" collapsed="false">
      <c r="A451" s="23" t="n">
        <v>450</v>
      </c>
      <c r="B451" s="23" t="s">
        <v>77</v>
      </c>
      <c r="C451" s="44" t="s">
        <v>47</v>
      </c>
      <c r="D451" s="139" t="s">
        <v>535</v>
      </c>
      <c r="E451" s="139" t="s">
        <v>536</v>
      </c>
      <c r="F451" s="23" t="n">
        <v>1049</v>
      </c>
      <c r="G451" s="161" t="s">
        <v>1552</v>
      </c>
      <c r="H451" s="170" t="s">
        <v>9</v>
      </c>
      <c r="I451" s="171" t="s">
        <v>653</v>
      </c>
      <c r="J451" s="172" t="s">
        <v>654</v>
      </c>
      <c r="K451" s="23"/>
      <c r="L451" s="165" t="s">
        <v>1553</v>
      </c>
      <c r="M451" s="166" t="s">
        <v>656</v>
      </c>
      <c r="N451" s="167"/>
      <c r="O451" s="166" t="n">
        <v>0</v>
      </c>
      <c r="P451" s="168" t="str">
        <f aca="false">IF(N451="","",N451+CHOOSE(MIN(O451,3)+1,3,7,21,45))</f>
        <v/>
      </c>
      <c r="Q451" s="166"/>
      <c r="R451" s="169"/>
    </row>
    <row r="452" customFormat="false" ht="23.85" hidden="false" customHeight="false" outlineLevel="0" collapsed="false">
      <c r="A452" s="23" t="n">
        <v>451</v>
      </c>
      <c r="B452" s="23" t="s">
        <v>77</v>
      </c>
      <c r="C452" s="44" t="s">
        <v>47</v>
      </c>
      <c r="D452" s="139" t="s">
        <v>535</v>
      </c>
      <c r="E452" s="139" t="s">
        <v>536</v>
      </c>
      <c r="F452" s="23" t="n">
        <v>474</v>
      </c>
      <c r="G452" s="161" t="s">
        <v>1554</v>
      </c>
      <c r="H452" s="170" t="s">
        <v>9</v>
      </c>
      <c r="I452" s="171" t="s">
        <v>653</v>
      </c>
      <c r="J452" s="172" t="s">
        <v>654</v>
      </c>
      <c r="K452" s="23"/>
      <c r="L452" s="165" t="s">
        <v>1555</v>
      </c>
      <c r="M452" s="166" t="s">
        <v>656</v>
      </c>
      <c r="N452" s="167"/>
      <c r="O452" s="166" t="n">
        <v>0</v>
      </c>
      <c r="P452" s="168" t="str">
        <f aca="false">IF(N452="","",N452+CHOOSE(MIN(O452,3)+1,3,7,21,45))</f>
        <v/>
      </c>
      <c r="Q452" s="166"/>
      <c r="R452" s="169"/>
    </row>
    <row r="453" customFormat="false" ht="23.85" hidden="false" customHeight="false" outlineLevel="0" collapsed="false">
      <c r="A453" s="23" t="n">
        <v>452</v>
      </c>
      <c r="B453" s="23" t="s">
        <v>77</v>
      </c>
      <c r="C453" s="44" t="s">
        <v>47</v>
      </c>
      <c r="D453" s="139" t="s">
        <v>535</v>
      </c>
      <c r="E453" s="139" t="s">
        <v>536</v>
      </c>
      <c r="F453" s="23" t="n">
        <v>2035</v>
      </c>
      <c r="G453" s="161" t="s">
        <v>1556</v>
      </c>
      <c r="H453" s="175" t="s">
        <v>11</v>
      </c>
      <c r="I453" s="171" t="s">
        <v>653</v>
      </c>
      <c r="J453" s="172" t="s">
        <v>654</v>
      </c>
      <c r="K453" s="23"/>
      <c r="L453" s="165" t="s">
        <v>1557</v>
      </c>
      <c r="M453" s="166" t="s">
        <v>656</v>
      </c>
      <c r="N453" s="167"/>
      <c r="O453" s="166" t="n">
        <v>0</v>
      </c>
      <c r="P453" s="168" t="str">
        <f aca="false">IF(N453="","",N453+CHOOSE(MIN(O453,3)+1,3,7,21,45))</f>
        <v/>
      </c>
      <c r="Q453" s="166"/>
      <c r="R453" s="169"/>
    </row>
    <row r="454" customFormat="false" ht="23.85" hidden="false" customHeight="false" outlineLevel="0" collapsed="false">
      <c r="A454" s="23" t="n">
        <v>453</v>
      </c>
      <c r="B454" s="23" t="s">
        <v>77</v>
      </c>
      <c r="C454" s="44" t="s">
        <v>47</v>
      </c>
      <c r="D454" s="139" t="s">
        <v>535</v>
      </c>
      <c r="E454" s="139" t="s">
        <v>540</v>
      </c>
      <c r="F454" s="23" t="n">
        <v>322</v>
      </c>
      <c r="G454" s="161" t="s">
        <v>1558</v>
      </c>
      <c r="H454" s="170" t="s">
        <v>9</v>
      </c>
      <c r="I454" s="163" t="s">
        <v>13</v>
      </c>
      <c r="J454" s="164" t="s">
        <v>649</v>
      </c>
      <c r="K454" s="23"/>
      <c r="L454" s="165" t="s">
        <v>1559</v>
      </c>
      <c r="M454" s="166" t="s">
        <v>656</v>
      </c>
      <c r="N454" s="167"/>
      <c r="O454" s="166" t="n">
        <v>0</v>
      </c>
      <c r="P454" s="168" t="str">
        <f aca="false">IF(N454="","",N454+CHOOSE(MIN(O454,3)+1,3,7,21,45))</f>
        <v/>
      </c>
      <c r="Q454" s="166"/>
      <c r="R454" s="169"/>
    </row>
    <row r="455" customFormat="false" ht="23.85" hidden="false" customHeight="false" outlineLevel="0" collapsed="false">
      <c r="A455" s="23" t="n">
        <v>454</v>
      </c>
      <c r="B455" s="23" t="s">
        <v>77</v>
      </c>
      <c r="C455" s="44" t="s">
        <v>47</v>
      </c>
      <c r="D455" s="139" t="s">
        <v>535</v>
      </c>
      <c r="E455" s="139" t="s">
        <v>540</v>
      </c>
      <c r="F455" s="23" t="n">
        <v>518</v>
      </c>
      <c r="G455" s="161" t="s">
        <v>1560</v>
      </c>
      <c r="H455" s="170" t="s">
        <v>9</v>
      </c>
      <c r="I455" s="173" t="s">
        <v>668</v>
      </c>
      <c r="J455" s="174" t="s">
        <v>669</v>
      </c>
      <c r="K455" s="23"/>
      <c r="L455" s="165" t="s">
        <v>1561</v>
      </c>
      <c r="M455" s="166" t="s">
        <v>656</v>
      </c>
      <c r="N455" s="167"/>
      <c r="O455" s="166" t="n">
        <v>0</v>
      </c>
      <c r="P455" s="168" t="str">
        <f aca="false">IF(N455="","",N455+CHOOSE(MIN(O455,3)+1,3,7,21,45))</f>
        <v/>
      </c>
      <c r="Q455" s="166"/>
      <c r="R455" s="169"/>
    </row>
    <row r="456" customFormat="false" ht="23.85" hidden="false" customHeight="false" outlineLevel="0" collapsed="false">
      <c r="A456" s="23" t="n">
        <v>455</v>
      </c>
      <c r="B456" s="23" t="s">
        <v>77</v>
      </c>
      <c r="C456" s="44" t="s">
        <v>47</v>
      </c>
      <c r="D456" s="139" t="s">
        <v>535</v>
      </c>
      <c r="E456" s="139" t="s">
        <v>540</v>
      </c>
      <c r="F456" s="23" t="n">
        <v>279</v>
      </c>
      <c r="G456" s="161" t="s">
        <v>1562</v>
      </c>
      <c r="H456" s="170" t="s">
        <v>9</v>
      </c>
      <c r="I456" s="176" t="s">
        <v>15</v>
      </c>
      <c r="J456" s="174" t="s">
        <v>669</v>
      </c>
      <c r="K456" s="23"/>
      <c r="L456" s="165" t="s">
        <v>1563</v>
      </c>
      <c r="M456" s="166" t="s">
        <v>656</v>
      </c>
      <c r="N456" s="167"/>
      <c r="O456" s="166" t="n">
        <v>0</v>
      </c>
      <c r="P456" s="168" t="str">
        <f aca="false">IF(N456="","",N456+CHOOSE(MIN(O456,3)+1,3,7,21,45))</f>
        <v/>
      </c>
      <c r="Q456" s="166"/>
      <c r="R456" s="169"/>
    </row>
    <row r="457" customFormat="false" ht="23.85" hidden="false" customHeight="false" outlineLevel="0" collapsed="false">
      <c r="A457" s="23" t="n">
        <v>456</v>
      </c>
      <c r="B457" s="23" t="s">
        <v>77</v>
      </c>
      <c r="C457" s="44" t="s">
        <v>47</v>
      </c>
      <c r="D457" s="139" t="s">
        <v>535</v>
      </c>
      <c r="E457" s="139" t="s">
        <v>540</v>
      </c>
      <c r="F457" s="23" t="n">
        <v>983</v>
      </c>
      <c r="G457" s="161" t="s">
        <v>1564</v>
      </c>
      <c r="H457" s="170" t="s">
        <v>9</v>
      </c>
      <c r="I457" s="171" t="s">
        <v>653</v>
      </c>
      <c r="J457" s="172" t="s">
        <v>654</v>
      </c>
      <c r="K457" s="23"/>
      <c r="L457" s="165" t="s">
        <v>1565</v>
      </c>
      <c r="M457" s="166" t="s">
        <v>656</v>
      </c>
      <c r="N457" s="167"/>
      <c r="O457" s="166" t="n">
        <v>0</v>
      </c>
      <c r="P457" s="168" t="str">
        <f aca="false">IF(N457="","",N457+CHOOSE(MIN(O457,3)+1,3,7,21,45))</f>
        <v/>
      </c>
      <c r="Q457" s="166"/>
      <c r="R457" s="169"/>
    </row>
    <row r="458" customFormat="false" ht="23.85" hidden="false" customHeight="false" outlineLevel="0" collapsed="false">
      <c r="A458" s="23" t="n">
        <v>457</v>
      </c>
      <c r="B458" s="23" t="s">
        <v>79</v>
      </c>
      <c r="C458" s="44" t="s">
        <v>47</v>
      </c>
      <c r="D458" s="139" t="s">
        <v>543</v>
      </c>
      <c r="E458" s="139" t="s">
        <v>544</v>
      </c>
      <c r="F458" s="23" t="n">
        <v>300</v>
      </c>
      <c r="G458" s="161" t="s">
        <v>1566</v>
      </c>
      <c r="H458" s="170" t="s">
        <v>9</v>
      </c>
      <c r="I458" s="163" t="s">
        <v>13</v>
      </c>
      <c r="J458" s="164" t="s">
        <v>649</v>
      </c>
      <c r="K458" s="23"/>
      <c r="L458" s="165" t="s">
        <v>1567</v>
      </c>
      <c r="M458" s="166" t="s">
        <v>656</v>
      </c>
      <c r="N458" s="167"/>
      <c r="O458" s="166" t="n">
        <v>0</v>
      </c>
      <c r="P458" s="168" t="str">
        <f aca="false">IF(N458="","",N458+CHOOSE(MIN(O458,3)+1,3,7,21,45))</f>
        <v/>
      </c>
      <c r="Q458" s="166"/>
      <c r="R458" s="169"/>
    </row>
    <row r="459" customFormat="false" ht="23.85" hidden="false" customHeight="false" outlineLevel="0" collapsed="false">
      <c r="A459" s="23" t="n">
        <v>458</v>
      </c>
      <c r="B459" s="23" t="s">
        <v>79</v>
      </c>
      <c r="C459" s="44" t="s">
        <v>47</v>
      </c>
      <c r="D459" s="139" t="s">
        <v>543</v>
      </c>
      <c r="E459" s="139" t="s">
        <v>544</v>
      </c>
      <c r="F459" s="23" t="n">
        <v>673</v>
      </c>
      <c r="G459" s="161" t="s">
        <v>1568</v>
      </c>
      <c r="H459" s="170" t="s">
        <v>9</v>
      </c>
      <c r="I459" s="171" t="s">
        <v>653</v>
      </c>
      <c r="J459" s="172" t="s">
        <v>654</v>
      </c>
      <c r="K459" s="23"/>
      <c r="L459" s="165" t="s">
        <v>1569</v>
      </c>
      <c r="M459" s="166" t="s">
        <v>656</v>
      </c>
      <c r="N459" s="167"/>
      <c r="O459" s="166" t="n">
        <v>0</v>
      </c>
      <c r="P459" s="168" t="str">
        <f aca="false">IF(N459="","",N459+CHOOSE(MIN(O459,3)+1,3,7,21,45))</f>
        <v/>
      </c>
      <c r="Q459" s="166"/>
      <c r="R459" s="169"/>
    </row>
    <row r="460" customFormat="false" ht="23.85" hidden="false" customHeight="false" outlineLevel="0" collapsed="false">
      <c r="A460" s="23" t="n">
        <v>459</v>
      </c>
      <c r="B460" s="23" t="s">
        <v>79</v>
      </c>
      <c r="C460" s="44" t="s">
        <v>47</v>
      </c>
      <c r="D460" s="139" t="s">
        <v>543</v>
      </c>
      <c r="E460" s="139" t="s">
        <v>544</v>
      </c>
      <c r="F460" s="23" t="n">
        <v>368</v>
      </c>
      <c r="G460" s="161" t="s">
        <v>1570</v>
      </c>
      <c r="H460" s="170" t="s">
        <v>9</v>
      </c>
      <c r="I460" s="171" t="s">
        <v>653</v>
      </c>
      <c r="J460" s="172" t="s">
        <v>654</v>
      </c>
      <c r="K460" s="23"/>
      <c r="L460" s="165" t="s">
        <v>1571</v>
      </c>
      <c r="M460" s="166" t="s">
        <v>656</v>
      </c>
      <c r="N460" s="167"/>
      <c r="O460" s="166" t="n">
        <v>0</v>
      </c>
      <c r="P460" s="168" t="str">
        <f aca="false">IF(N460="","",N460+CHOOSE(MIN(O460,3)+1,3,7,21,45))</f>
        <v/>
      </c>
      <c r="Q460" s="166"/>
      <c r="R460" s="169"/>
    </row>
    <row r="461" customFormat="false" ht="23.85" hidden="false" customHeight="false" outlineLevel="0" collapsed="false">
      <c r="A461" s="23" t="n">
        <v>460</v>
      </c>
      <c r="B461" s="23" t="s">
        <v>79</v>
      </c>
      <c r="C461" s="44" t="s">
        <v>47</v>
      </c>
      <c r="D461" s="139" t="s">
        <v>543</v>
      </c>
      <c r="E461" s="139" t="s">
        <v>544</v>
      </c>
      <c r="F461" s="23" t="n">
        <v>646</v>
      </c>
      <c r="G461" s="161" t="s">
        <v>1572</v>
      </c>
      <c r="H461" s="170" t="s">
        <v>9</v>
      </c>
      <c r="I461" s="171" t="s">
        <v>653</v>
      </c>
      <c r="J461" s="172" t="s">
        <v>654</v>
      </c>
      <c r="K461" s="23"/>
      <c r="L461" s="165" t="s">
        <v>1573</v>
      </c>
      <c r="M461" s="166" t="s">
        <v>656</v>
      </c>
      <c r="N461" s="167"/>
      <c r="O461" s="166" t="n">
        <v>0</v>
      </c>
      <c r="P461" s="168" t="str">
        <f aca="false">IF(N461="","",N461+CHOOSE(MIN(O461,3)+1,3,7,21,45))</f>
        <v/>
      </c>
      <c r="Q461" s="166"/>
      <c r="R461" s="169"/>
    </row>
    <row r="462" customFormat="false" ht="23.85" hidden="false" customHeight="false" outlineLevel="0" collapsed="false">
      <c r="A462" s="23" t="n">
        <v>461</v>
      </c>
      <c r="B462" s="23" t="s">
        <v>79</v>
      </c>
      <c r="C462" s="44" t="s">
        <v>47</v>
      </c>
      <c r="D462" s="139" t="s">
        <v>543</v>
      </c>
      <c r="E462" s="139" t="s">
        <v>544</v>
      </c>
      <c r="F462" s="23" t="n">
        <v>354</v>
      </c>
      <c r="G462" s="161" t="s">
        <v>1574</v>
      </c>
      <c r="H462" s="175" t="s">
        <v>11</v>
      </c>
      <c r="I462" s="176" t="s">
        <v>15</v>
      </c>
      <c r="J462" s="174" t="s">
        <v>669</v>
      </c>
      <c r="K462" s="23"/>
      <c r="L462" s="165" t="s">
        <v>1575</v>
      </c>
      <c r="M462" s="166" t="s">
        <v>656</v>
      </c>
      <c r="N462" s="167"/>
      <c r="O462" s="166" t="n">
        <v>0</v>
      </c>
      <c r="P462" s="168" t="str">
        <f aca="false">IF(N462="","",N462+CHOOSE(MIN(O462,3)+1,3,7,21,45))</f>
        <v/>
      </c>
      <c r="Q462" s="166"/>
      <c r="R462" s="169"/>
    </row>
    <row r="463" customFormat="false" ht="23.85" hidden="false" customHeight="false" outlineLevel="0" collapsed="false">
      <c r="A463" s="23" t="n">
        <v>462</v>
      </c>
      <c r="B463" s="23" t="s">
        <v>79</v>
      </c>
      <c r="C463" s="44" t="s">
        <v>47</v>
      </c>
      <c r="D463" s="139" t="s">
        <v>543</v>
      </c>
      <c r="E463" s="139" t="s">
        <v>547</v>
      </c>
      <c r="F463" s="23" t="n">
        <v>1143</v>
      </c>
      <c r="G463" s="161" t="s">
        <v>1576</v>
      </c>
      <c r="H463" s="170" t="s">
        <v>9</v>
      </c>
      <c r="I463" s="163" t="s">
        <v>13</v>
      </c>
      <c r="J463" s="164" t="s">
        <v>649</v>
      </c>
      <c r="K463" s="23"/>
      <c r="L463" s="165" t="s">
        <v>1577</v>
      </c>
      <c r="M463" s="166" t="s">
        <v>656</v>
      </c>
      <c r="N463" s="167"/>
      <c r="O463" s="166" t="n">
        <v>0</v>
      </c>
      <c r="P463" s="168" t="str">
        <f aca="false">IF(N463="","",N463+CHOOSE(MIN(O463,3)+1,3,7,21,45))</f>
        <v/>
      </c>
      <c r="Q463" s="166"/>
      <c r="R463" s="169"/>
    </row>
    <row r="464" customFormat="false" ht="23.85" hidden="false" customHeight="false" outlineLevel="0" collapsed="false">
      <c r="A464" s="23" t="n">
        <v>463</v>
      </c>
      <c r="B464" s="23" t="s">
        <v>79</v>
      </c>
      <c r="C464" s="44" t="s">
        <v>47</v>
      </c>
      <c r="D464" s="139" t="s">
        <v>543</v>
      </c>
      <c r="E464" s="139" t="s">
        <v>547</v>
      </c>
      <c r="F464" s="23" t="n">
        <v>583</v>
      </c>
      <c r="G464" s="161" t="s">
        <v>1578</v>
      </c>
      <c r="H464" s="170" t="s">
        <v>9</v>
      </c>
      <c r="I464" s="171" t="s">
        <v>653</v>
      </c>
      <c r="J464" s="172" t="s">
        <v>654</v>
      </c>
      <c r="K464" s="23"/>
      <c r="L464" s="165" t="s">
        <v>1579</v>
      </c>
      <c r="M464" s="166" t="s">
        <v>656</v>
      </c>
      <c r="N464" s="167"/>
      <c r="O464" s="166" t="n">
        <v>0</v>
      </c>
      <c r="P464" s="168" t="str">
        <f aca="false">IF(N464="","",N464+CHOOSE(MIN(O464,3)+1,3,7,21,45))</f>
        <v/>
      </c>
      <c r="Q464" s="166"/>
      <c r="R464" s="169"/>
    </row>
    <row r="465" customFormat="false" ht="23.85" hidden="false" customHeight="false" outlineLevel="0" collapsed="false">
      <c r="A465" s="23" t="n">
        <v>464</v>
      </c>
      <c r="B465" s="23" t="s">
        <v>79</v>
      </c>
      <c r="C465" s="44" t="s">
        <v>47</v>
      </c>
      <c r="D465" s="139" t="s">
        <v>543</v>
      </c>
      <c r="E465" s="139" t="s">
        <v>547</v>
      </c>
      <c r="F465" s="23" t="n">
        <v>712</v>
      </c>
      <c r="G465" s="161" t="s">
        <v>1580</v>
      </c>
      <c r="H465" s="170" t="s">
        <v>9</v>
      </c>
      <c r="I465" s="171" t="s">
        <v>653</v>
      </c>
      <c r="J465" s="172" t="s">
        <v>654</v>
      </c>
      <c r="K465" s="23"/>
      <c r="L465" s="165" t="s">
        <v>1581</v>
      </c>
      <c r="M465" s="166" t="s">
        <v>656</v>
      </c>
      <c r="N465" s="167"/>
      <c r="O465" s="166" t="n">
        <v>0</v>
      </c>
      <c r="P465" s="168" t="str">
        <f aca="false">IF(N465="","",N465+CHOOSE(MIN(O465,3)+1,3,7,21,45))</f>
        <v/>
      </c>
      <c r="Q465" s="166"/>
      <c r="R465" s="169"/>
    </row>
    <row r="466" customFormat="false" ht="23.85" hidden="false" customHeight="false" outlineLevel="0" collapsed="false">
      <c r="A466" s="23" t="n">
        <v>465</v>
      </c>
      <c r="B466" s="23" t="s">
        <v>79</v>
      </c>
      <c r="C466" s="44" t="s">
        <v>47</v>
      </c>
      <c r="D466" s="139" t="s">
        <v>543</v>
      </c>
      <c r="E466" s="139" t="s">
        <v>547</v>
      </c>
      <c r="F466" s="23" t="n">
        <v>72</v>
      </c>
      <c r="G466" s="161" t="s">
        <v>1582</v>
      </c>
      <c r="H466" s="170" t="s">
        <v>9</v>
      </c>
      <c r="I466" s="173" t="s">
        <v>668</v>
      </c>
      <c r="J466" s="174" t="s">
        <v>669</v>
      </c>
      <c r="K466" s="23"/>
      <c r="L466" s="165" t="s">
        <v>1583</v>
      </c>
      <c r="M466" s="166" t="s">
        <v>656</v>
      </c>
      <c r="N466" s="167"/>
      <c r="O466" s="166" t="n">
        <v>0</v>
      </c>
      <c r="P466" s="168" t="str">
        <f aca="false">IF(N466="","",N466+CHOOSE(MIN(O466,3)+1,3,7,21,45))</f>
        <v/>
      </c>
      <c r="Q466" s="166"/>
      <c r="R466" s="169"/>
    </row>
    <row r="467" customFormat="false" ht="23.85" hidden="false" customHeight="false" outlineLevel="0" collapsed="false">
      <c r="A467" s="23" t="n">
        <v>466</v>
      </c>
      <c r="B467" s="23" t="s">
        <v>79</v>
      </c>
      <c r="C467" s="44" t="s">
        <v>47</v>
      </c>
      <c r="D467" s="139" t="s">
        <v>543</v>
      </c>
      <c r="E467" s="139" t="s">
        <v>547</v>
      </c>
      <c r="F467" s="23" t="n">
        <v>97</v>
      </c>
      <c r="G467" s="161" t="s">
        <v>1584</v>
      </c>
      <c r="H467" s="170" t="s">
        <v>9</v>
      </c>
      <c r="I467" s="173" t="s">
        <v>668</v>
      </c>
      <c r="J467" s="174" t="s">
        <v>669</v>
      </c>
      <c r="K467" s="23"/>
      <c r="L467" s="165" t="s">
        <v>1585</v>
      </c>
      <c r="M467" s="166" t="s">
        <v>656</v>
      </c>
      <c r="N467" s="167"/>
      <c r="O467" s="166" t="n">
        <v>0</v>
      </c>
      <c r="P467" s="168" t="str">
        <f aca="false">IF(N467="","",N467+CHOOSE(MIN(O467,3)+1,3,7,21,45))</f>
        <v/>
      </c>
      <c r="Q467" s="166"/>
      <c r="R467" s="169"/>
    </row>
    <row r="468" customFormat="false" ht="23.85" hidden="false" customHeight="false" outlineLevel="0" collapsed="false">
      <c r="A468" s="23" t="n">
        <v>467</v>
      </c>
      <c r="B468" s="23" t="s">
        <v>79</v>
      </c>
      <c r="C468" s="44" t="s">
        <v>47</v>
      </c>
      <c r="D468" s="139" t="s">
        <v>543</v>
      </c>
      <c r="E468" s="139" t="s">
        <v>547</v>
      </c>
      <c r="F468" s="23" t="n">
        <v>115</v>
      </c>
      <c r="G468" s="161" t="s">
        <v>1586</v>
      </c>
      <c r="H468" s="175" t="s">
        <v>11</v>
      </c>
      <c r="I468" s="173" t="s">
        <v>668</v>
      </c>
      <c r="J468" s="174" t="s">
        <v>669</v>
      </c>
      <c r="K468" s="23"/>
      <c r="L468" s="165" t="s">
        <v>1587</v>
      </c>
      <c r="M468" s="166" t="s">
        <v>656</v>
      </c>
      <c r="N468" s="167"/>
      <c r="O468" s="166" t="n">
        <v>0</v>
      </c>
      <c r="P468" s="168" t="str">
        <f aca="false">IF(N468="","",N468+CHOOSE(MIN(O468,3)+1,3,7,21,45))</f>
        <v/>
      </c>
      <c r="Q468" s="166"/>
      <c r="R468" s="169"/>
    </row>
    <row r="469" customFormat="false" ht="23.85" hidden="false" customHeight="false" outlineLevel="0" collapsed="false">
      <c r="A469" s="23" t="n">
        <v>468</v>
      </c>
      <c r="B469" s="23" t="s">
        <v>79</v>
      </c>
      <c r="C469" s="44" t="s">
        <v>47</v>
      </c>
      <c r="D469" s="139" t="s">
        <v>543</v>
      </c>
      <c r="E469" s="139" t="s">
        <v>547</v>
      </c>
      <c r="F469" s="23" t="n">
        <v>1092</v>
      </c>
      <c r="G469" s="161" t="s">
        <v>1588</v>
      </c>
      <c r="H469" s="175" t="s">
        <v>11</v>
      </c>
      <c r="I469" s="171" t="s">
        <v>653</v>
      </c>
      <c r="J469" s="172" t="s">
        <v>654</v>
      </c>
      <c r="K469" s="23"/>
      <c r="L469" s="165" t="s">
        <v>1589</v>
      </c>
      <c r="M469" s="166" t="s">
        <v>656</v>
      </c>
      <c r="N469" s="167"/>
      <c r="O469" s="166" t="n">
        <v>0</v>
      </c>
      <c r="P469" s="168" t="str">
        <f aca="false">IF(N469="","",N469+CHOOSE(MIN(O469,3)+1,3,7,21,45))</f>
        <v/>
      </c>
      <c r="Q469" s="166"/>
      <c r="R469" s="169"/>
    </row>
    <row r="470" customFormat="false" ht="23.85" hidden="false" customHeight="false" outlineLevel="0" collapsed="false">
      <c r="A470" s="23" t="n">
        <v>469</v>
      </c>
      <c r="B470" s="23" t="s">
        <v>79</v>
      </c>
      <c r="C470" s="44" t="s">
        <v>47</v>
      </c>
      <c r="D470" s="139" t="s">
        <v>543</v>
      </c>
      <c r="E470" s="139" t="s">
        <v>550</v>
      </c>
      <c r="F470" s="23" t="n">
        <v>10</v>
      </c>
      <c r="G470" s="161" t="s">
        <v>1590</v>
      </c>
      <c r="H470" s="175" t="s">
        <v>11</v>
      </c>
      <c r="I470" s="173" t="s">
        <v>668</v>
      </c>
      <c r="J470" s="174" t="s">
        <v>669</v>
      </c>
      <c r="K470" s="23"/>
      <c r="L470" s="165" t="s">
        <v>1591</v>
      </c>
      <c r="M470" s="166" t="s">
        <v>656</v>
      </c>
      <c r="N470" s="167"/>
      <c r="O470" s="166" t="n">
        <v>0</v>
      </c>
      <c r="P470" s="168" t="str">
        <f aca="false">IF(N470="","",N470+CHOOSE(MIN(O470,3)+1,3,7,21,45))</f>
        <v/>
      </c>
      <c r="Q470" s="166"/>
      <c r="R470" s="169"/>
    </row>
    <row r="471" customFormat="false" ht="23.85" hidden="false" customHeight="false" outlineLevel="0" collapsed="false">
      <c r="A471" s="23" t="n">
        <v>470</v>
      </c>
      <c r="B471" s="23" t="s">
        <v>79</v>
      </c>
      <c r="C471" s="44" t="s">
        <v>47</v>
      </c>
      <c r="D471" s="139" t="s">
        <v>543</v>
      </c>
      <c r="E471" s="139" t="s">
        <v>550</v>
      </c>
      <c r="F471" s="23" t="n">
        <v>44</v>
      </c>
      <c r="G471" s="161" t="s">
        <v>1592</v>
      </c>
      <c r="H471" s="175" t="s">
        <v>11</v>
      </c>
      <c r="I471" s="171" t="s">
        <v>653</v>
      </c>
      <c r="J471" s="172" t="s">
        <v>654</v>
      </c>
      <c r="K471" s="23"/>
      <c r="L471" s="165" t="s">
        <v>1593</v>
      </c>
      <c r="M471" s="166" t="s">
        <v>656</v>
      </c>
      <c r="N471" s="167"/>
      <c r="O471" s="166" t="n">
        <v>0</v>
      </c>
      <c r="P471" s="168" t="str">
        <f aca="false">IF(N471="","",N471+CHOOSE(MIN(O471,3)+1,3,7,21,45))</f>
        <v/>
      </c>
      <c r="Q471" s="166"/>
      <c r="R471" s="169"/>
    </row>
    <row r="472" customFormat="false" ht="23.85" hidden="false" customHeight="false" outlineLevel="0" collapsed="false">
      <c r="A472" s="23" t="n">
        <v>471</v>
      </c>
      <c r="B472" s="23" t="s">
        <v>79</v>
      </c>
      <c r="C472" s="44" t="s">
        <v>47</v>
      </c>
      <c r="D472" s="139" t="s">
        <v>543</v>
      </c>
      <c r="E472" s="139" t="s">
        <v>553</v>
      </c>
      <c r="F472" s="23" t="n">
        <v>516</v>
      </c>
      <c r="G472" s="161" t="s">
        <v>1594</v>
      </c>
      <c r="H472" s="170" t="s">
        <v>9</v>
      </c>
      <c r="I472" s="176" t="s">
        <v>15</v>
      </c>
      <c r="J472" s="174" t="s">
        <v>669</v>
      </c>
      <c r="K472" s="23"/>
      <c r="L472" s="165" t="s">
        <v>1595</v>
      </c>
      <c r="M472" s="166" t="s">
        <v>656</v>
      </c>
      <c r="N472" s="167"/>
      <c r="O472" s="166" t="n">
        <v>0</v>
      </c>
      <c r="P472" s="168" t="str">
        <f aca="false">IF(N472="","",N472+CHOOSE(MIN(O472,3)+1,3,7,21,45))</f>
        <v/>
      </c>
      <c r="Q472" s="166"/>
      <c r="R472" s="169"/>
    </row>
    <row r="473" customFormat="false" ht="23.85" hidden="false" customHeight="false" outlineLevel="0" collapsed="false">
      <c r="A473" s="23" t="n">
        <v>472</v>
      </c>
      <c r="B473" s="23" t="s">
        <v>79</v>
      </c>
      <c r="C473" s="44" t="s">
        <v>47</v>
      </c>
      <c r="D473" s="139" t="s">
        <v>543</v>
      </c>
      <c r="E473" s="139" t="s">
        <v>553</v>
      </c>
      <c r="F473" s="23" t="n">
        <v>132</v>
      </c>
      <c r="G473" s="161" t="s">
        <v>1596</v>
      </c>
      <c r="H473" s="175" t="s">
        <v>11</v>
      </c>
      <c r="I473" s="171" t="s">
        <v>653</v>
      </c>
      <c r="J473" s="172" t="s">
        <v>654</v>
      </c>
      <c r="K473" s="23"/>
      <c r="L473" s="165" t="s">
        <v>1597</v>
      </c>
      <c r="M473" s="166" t="s">
        <v>656</v>
      </c>
      <c r="N473" s="167"/>
      <c r="O473" s="166" t="n">
        <v>0</v>
      </c>
      <c r="P473" s="168" t="str">
        <f aca="false">IF(N473="","",N473+CHOOSE(MIN(O473,3)+1,3,7,21,45))</f>
        <v/>
      </c>
      <c r="Q473" s="166"/>
      <c r="R473" s="169"/>
    </row>
    <row r="474" customFormat="false" ht="23.85" hidden="false" customHeight="false" outlineLevel="0" collapsed="false">
      <c r="A474" s="23" t="n">
        <v>473</v>
      </c>
      <c r="B474" s="23" t="s">
        <v>79</v>
      </c>
      <c r="C474" s="44" t="s">
        <v>47</v>
      </c>
      <c r="D474" s="139" t="s">
        <v>543</v>
      </c>
      <c r="E474" s="139" t="s">
        <v>553</v>
      </c>
      <c r="F474" s="23" t="n">
        <v>1312</v>
      </c>
      <c r="G474" s="161" t="s">
        <v>1598</v>
      </c>
      <c r="H474" s="175" t="s">
        <v>11</v>
      </c>
      <c r="I474" s="171" t="s">
        <v>653</v>
      </c>
      <c r="J474" s="172" t="s">
        <v>654</v>
      </c>
      <c r="K474" s="23"/>
      <c r="L474" s="165" t="s">
        <v>1599</v>
      </c>
      <c r="M474" s="166" t="s">
        <v>656</v>
      </c>
      <c r="N474" s="167"/>
      <c r="O474" s="166" t="n">
        <v>0</v>
      </c>
      <c r="P474" s="168" t="str">
        <f aca="false">IF(N474="","",N474+CHOOSE(MIN(O474,3)+1,3,7,21,45))</f>
        <v/>
      </c>
      <c r="Q474" s="166"/>
      <c r="R474" s="169"/>
    </row>
    <row r="475" customFormat="false" ht="23.85" hidden="false" customHeight="false" outlineLevel="0" collapsed="false">
      <c r="A475" s="23" t="n">
        <v>474</v>
      </c>
      <c r="B475" s="23" t="s">
        <v>50</v>
      </c>
      <c r="C475" s="44" t="s">
        <v>47</v>
      </c>
      <c r="D475" s="139" t="s">
        <v>556</v>
      </c>
      <c r="E475" s="139" t="s">
        <v>557</v>
      </c>
      <c r="F475" s="23" t="n">
        <v>1043</v>
      </c>
      <c r="G475" s="161" t="s">
        <v>1600</v>
      </c>
      <c r="H475" s="170" t="s">
        <v>9</v>
      </c>
      <c r="I475" s="171" t="s">
        <v>653</v>
      </c>
      <c r="J475" s="172" t="s">
        <v>654</v>
      </c>
      <c r="K475" s="23"/>
      <c r="L475" s="165" t="s">
        <v>1601</v>
      </c>
      <c r="M475" s="166" t="s">
        <v>656</v>
      </c>
      <c r="N475" s="167"/>
      <c r="O475" s="166" t="n">
        <v>0</v>
      </c>
      <c r="P475" s="168" t="str">
        <f aca="false">IF(N475="","",N475+CHOOSE(MIN(O475,3)+1,3,7,21,45))</f>
        <v/>
      </c>
      <c r="Q475" s="166"/>
      <c r="R475" s="169"/>
    </row>
    <row r="476" customFormat="false" ht="23.85" hidden="false" customHeight="false" outlineLevel="0" collapsed="false">
      <c r="A476" s="23" t="n">
        <v>475</v>
      </c>
      <c r="B476" s="23" t="s">
        <v>50</v>
      </c>
      <c r="C476" s="44" t="s">
        <v>47</v>
      </c>
      <c r="D476" s="139" t="s">
        <v>556</v>
      </c>
      <c r="E476" s="139" t="s">
        <v>557</v>
      </c>
      <c r="F476" s="23" t="n">
        <v>1039</v>
      </c>
      <c r="G476" s="161" t="s">
        <v>1602</v>
      </c>
      <c r="H476" s="170" t="s">
        <v>9</v>
      </c>
      <c r="I476" s="171" t="s">
        <v>653</v>
      </c>
      <c r="J476" s="172" t="s">
        <v>654</v>
      </c>
      <c r="K476" s="23"/>
      <c r="L476" s="165" t="s">
        <v>1603</v>
      </c>
      <c r="M476" s="166" t="s">
        <v>656</v>
      </c>
      <c r="N476" s="167"/>
      <c r="O476" s="166" t="n">
        <v>0</v>
      </c>
      <c r="P476" s="168" t="str">
        <f aca="false">IF(N476="","",N476+CHOOSE(MIN(O476,3)+1,3,7,21,45))</f>
        <v/>
      </c>
      <c r="Q476" s="166"/>
      <c r="R476" s="169"/>
    </row>
    <row r="477" customFormat="false" ht="23.85" hidden="false" customHeight="false" outlineLevel="0" collapsed="false">
      <c r="A477" s="23" t="n">
        <v>476</v>
      </c>
      <c r="B477" s="23" t="s">
        <v>50</v>
      </c>
      <c r="C477" s="44" t="s">
        <v>47</v>
      </c>
      <c r="D477" s="139" t="s">
        <v>556</v>
      </c>
      <c r="E477" s="139" t="s">
        <v>557</v>
      </c>
      <c r="F477" s="23" t="n">
        <v>375</v>
      </c>
      <c r="G477" s="161" t="s">
        <v>1604</v>
      </c>
      <c r="H477" s="170" t="s">
        <v>9</v>
      </c>
      <c r="I477" s="171" t="s">
        <v>653</v>
      </c>
      <c r="J477" s="172" t="s">
        <v>654</v>
      </c>
      <c r="K477" s="23"/>
      <c r="L477" s="165" t="s">
        <v>1605</v>
      </c>
      <c r="M477" s="166" t="s">
        <v>656</v>
      </c>
      <c r="N477" s="167"/>
      <c r="O477" s="166" t="n">
        <v>0</v>
      </c>
      <c r="P477" s="168" t="str">
        <f aca="false">IF(N477="","",N477+CHOOSE(MIN(O477,3)+1,3,7,21,45))</f>
        <v/>
      </c>
      <c r="Q477" s="166"/>
      <c r="R477" s="169"/>
    </row>
    <row r="478" customFormat="false" ht="23.85" hidden="false" customHeight="false" outlineLevel="0" collapsed="false">
      <c r="A478" s="23" t="n">
        <v>477</v>
      </c>
      <c r="B478" s="23" t="s">
        <v>50</v>
      </c>
      <c r="C478" s="44" t="s">
        <v>47</v>
      </c>
      <c r="D478" s="139" t="s">
        <v>556</v>
      </c>
      <c r="E478" s="139" t="s">
        <v>557</v>
      </c>
      <c r="F478" s="23" t="n">
        <v>312</v>
      </c>
      <c r="G478" s="161" t="s">
        <v>1606</v>
      </c>
      <c r="H478" s="175" t="s">
        <v>11</v>
      </c>
      <c r="I478" s="173" t="s">
        <v>668</v>
      </c>
      <c r="J478" s="174" t="s">
        <v>669</v>
      </c>
      <c r="K478" s="23"/>
      <c r="L478" s="165" t="s">
        <v>1607</v>
      </c>
      <c r="M478" s="166" t="s">
        <v>656</v>
      </c>
      <c r="N478" s="167"/>
      <c r="O478" s="166" t="n">
        <v>0</v>
      </c>
      <c r="P478" s="168" t="str">
        <f aca="false">IF(N478="","",N478+CHOOSE(MIN(O478,3)+1,3,7,21,45))</f>
        <v/>
      </c>
      <c r="Q478" s="166"/>
      <c r="R478" s="169"/>
    </row>
    <row r="479" customFormat="false" ht="23.85" hidden="false" customHeight="false" outlineLevel="0" collapsed="false">
      <c r="A479" s="23" t="n">
        <v>478</v>
      </c>
      <c r="B479" s="23" t="s">
        <v>50</v>
      </c>
      <c r="C479" s="44" t="s">
        <v>47</v>
      </c>
      <c r="D479" s="139" t="s">
        <v>556</v>
      </c>
      <c r="E479" s="139" t="s">
        <v>557</v>
      </c>
      <c r="F479" s="23" t="n">
        <v>1547</v>
      </c>
      <c r="G479" s="161" t="s">
        <v>1608</v>
      </c>
      <c r="H479" s="175" t="s">
        <v>11</v>
      </c>
      <c r="I479" s="171" t="s">
        <v>653</v>
      </c>
      <c r="J479" s="172" t="s">
        <v>654</v>
      </c>
      <c r="K479" s="23"/>
      <c r="L479" s="165" t="s">
        <v>1609</v>
      </c>
      <c r="M479" s="166" t="s">
        <v>656</v>
      </c>
      <c r="N479" s="167"/>
      <c r="O479" s="166" t="n">
        <v>0</v>
      </c>
      <c r="P479" s="168" t="str">
        <f aca="false">IF(N479="","",N479+CHOOSE(MIN(O479,3)+1,3,7,21,45))</f>
        <v/>
      </c>
      <c r="Q479" s="166"/>
      <c r="R479" s="169"/>
    </row>
    <row r="480" customFormat="false" ht="23.85" hidden="false" customHeight="false" outlineLevel="0" collapsed="false">
      <c r="A480" s="23" t="n">
        <v>479</v>
      </c>
      <c r="B480" s="23" t="s">
        <v>50</v>
      </c>
      <c r="C480" s="44" t="s">
        <v>47</v>
      </c>
      <c r="D480" s="139" t="s">
        <v>556</v>
      </c>
      <c r="E480" s="139" t="s">
        <v>560</v>
      </c>
      <c r="F480" s="23" t="n">
        <v>486</v>
      </c>
      <c r="G480" s="161" t="s">
        <v>1610</v>
      </c>
      <c r="H480" s="170" t="s">
        <v>9</v>
      </c>
      <c r="I480" s="171" t="s">
        <v>653</v>
      </c>
      <c r="J480" s="172" t="s">
        <v>654</v>
      </c>
      <c r="K480" s="23"/>
      <c r="L480" s="165" t="s">
        <v>1611</v>
      </c>
      <c r="M480" s="166" t="s">
        <v>656</v>
      </c>
      <c r="N480" s="167"/>
      <c r="O480" s="166" t="n">
        <v>0</v>
      </c>
      <c r="P480" s="168" t="str">
        <f aca="false">IF(N480="","",N480+CHOOSE(MIN(O480,3)+1,3,7,21,45))</f>
        <v/>
      </c>
      <c r="Q480" s="166"/>
      <c r="R480" s="169"/>
    </row>
    <row r="481" customFormat="false" ht="23.85" hidden="false" customHeight="false" outlineLevel="0" collapsed="false">
      <c r="A481" s="23" t="n">
        <v>480</v>
      </c>
      <c r="B481" s="23" t="s">
        <v>50</v>
      </c>
      <c r="C481" s="44" t="s">
        <v>47</v>
      </c>
      <c r="D481" s="139" t="s">
        <v>556</v>
      </c>
      <c r="E481" s="139" t="s">
        <v>560</v>
      </c>
      <c r="F481" s="23" t="n">
        <v>877</v>
      </c>
      <c r="G481" s="161" t="s">
        <v>1612</v>
      </c>
      <c r="H481" s="170" t="s">
        <v>9</v>
      </c>
      <c r="I481" s="171" t="s">
        <v>653</v>
      </c>
      <c r="J481" s="172" t="s">
        <v>654</v>
      </c>
      <c r="K481" s="23"/>
      <c r="L481" s="165" t="s">
        <v>1613</v>
      </c>
      <c r="M481" s="166" t="s">
        <v>656</v>
      </c>
      <c r="N481" s="167"/>
      <c r="O481" s="166" t="n">
        <v>0</v>
      </c>
      <c r="P481" s="168" t="str">
        <f aca="false">IF(N481="","",N481+CHOOSE(MIN(O481,3)+1,3,7,21,45))</f>
        <v/>
      </c>
      <c r="Q481" s="166"/>
      <c r="R481" s="169"/>
    </row>
    <row r="482" customFormat="false" ht="23.85" hidden="false" customHeight="false" outlineLevel="0" collapsed="false">
      <c r="A482" s="23" t="n">
        <v>481</v>
      </c>
      <c r="B482" s="23" t="s">
        <v>79</v>
      </c>
      <c r="C482" s="44" t="s">
        <v>47</v>
      </c>
      <c r="D482" s="139" t="s">
        <v>563</v>
      </c>
      <c r="E482" s="139" t="s">
        <v>564</v>
      </c>
      <c r="F482" s="23" t="n">
        <v>122</v>
      </c>
      <c r="G482" s="161" t="s">
        <v>1614</v>
      </c>
      <c r="H482" s="170" t="s">
        <v>9</v>
      </c>
      <c r="I482" s="176" t="s">
        <v>15</v>
      </c>
      <c r="J482" s="174" t="s">
        <v>669</v>
      </c>
      <c r="K482" s="23"/>
      <c r="L482" s="165" t="s">
        <v>1615</v>
      </c>
      <c r="M482" s="166" t="s">
        <v>656</v>
      </c>
      <c r="N482" s="167"/>
      <c r="O482" s="166" t="n">
        <v>0</v>
      </c>
      <c r="P482" s="168" t="str">
        <f aca="false">IF(N482="","",N482+CHOOSE(MIN(O482,3)+1,3,7,21,45))</f>
        <v/>
      </c>
      <c r="Q482" s="166"/>
      <c r="R482" s="169"/>
    </row>
    <row r="483" customFormat="false" ht="23.85" hidden="false" customHeight="false" outlineLevel="0" collapsed="false">
      <c r="A483" s="23" t="n">
        <v>482</v>
      </c>
      <c r="B483" s="23" t="s">
        <v>79</v>
      </c>
      <c r="C483" s="44" t="s">
        <v>47</v>
      </c>
      <c r="D483" s="139" t="s">
        <v>563</v>
      </c>
      <c r="E483" s="139" t="s">
        <v>564</v>
      </c>
      <c r="F483" s="23" t="n">
        <v>309</v>
      </c>
      <c r="G483" s="161" t="s">
        <v>1616</v>
      </c>
      <c r="H483" s="170" t="s">
        <v>9</v>
      </c>
      <c r="I483" s="173" t="s">
        <v>668</v>
      </c>
      <c r="J483" s="174" t="s">
        <v>669</v>
      </c>
      <c r="K483" s="23"/>
      <c r="L483" s="165" t="s">
        <v>1617</v>
      </c>
      <c r="M483" s="166" t="s">
        <v>656</v>
      </c>
      <c r="N483" s="167"/>
      <c r="O483" s="166" t="n">
        <v>0</v>
      </c>
      <c r="P483" s="168" t="str">
        <f aca="false">IF(N483="","",N483+CHOOSE(MIN(O483,3)+1,3,7,21,45))</f>
        <v/>
      </c>
      <c r="Q483" s="166"/>
      <c r="R483" s="169"/>
    </row>
    <row r="484" customFormat="false" ht="23.85" hidden="false" customHeight="false" outlineLevel="0" collapsed="false">
      <c r="A484" s="23" t="n">
        <v>483</v>
      </c>
      <c r="B484" s="23" t="s">
        <v>79</v>
      </c>
      <c r="C484" s="44" t="s">
        <v>47</v>
      </c>
      <c r="D484" s="139" t="s">
        <v>563</v>
      </c>
      <c r="E484" s="139" t="s">
        <v>564</v>
      </c>
      <c r="F484" s="23" t="n">
        <v>714</v>
      </c>
      <c r="G484" s="161" t="s">
        <v>1618</v>
      </c>
      <c r="H484" s="170" t="s">
        <v>9</v>
      </c>
      <c r="I484" s="171" t="s">
        <v>653</v>
      </c>
      <c r="J484" s="172" t="s">
        <v>654</v>
      </c>
      <c r="K484" s="23"/>
      <c r="L484" s="165" t="s">
        <v>1619</v>
      </c>
      <c r="M484" s="166" t="s">
        <v>656</v>
      </c>
      <c r="N484" s="167"/>
      <c r="O484" s="166" t="n">
        <v>0</v>
      </c>
      <c r="P484" s="168" t="str">
        <f aca="false">IF(N484="","",N484+CHOOSE(MIN(O484,3)+1,3,7,21,45))</f>
        <v/>
      </c>
      <c r="Q484" s="166"/>
      <c r="R484" s="169"/>
    </row>
    <row r="485" customFormat="false" ht="23.85" hidden="false" customHeight="false" outlineLevel="0" collapsed="false">
      <c r="A485" s="23" t="n">
        <v>484</v>
      </c>
      <c r="B485" s="23" t="s">
        <v>79</v>
      </c>
      <c r="C485" s="44" t="s">
        <v>47</v>
      </c>
      <c r="D485" s="139" t="s">
        <v>563</v>
      </c>
      <c r="E485" s="139" t="s">
        <v>564</v>
      </c>
      <c r="F485" s="23" t="n">
        <v>123</v>
      </c>
      <c r="G485" s="161" t="s">
        <v>1620</v>
      </c>
      <c r="H485" s="175" t="s">
        <v>11</v>
      </c>
      <c r="I485" s="171" t="s">
        <v>653</v>
      </c>
      <c r="J485" s="172" t="s">
        <v>654</v>
      </c>
      <c r="K485" s="23"/>
      <c r="L485" s="165" t="s">
        <v>1621</v>
      </c>
      <c r="M485" s="166" t="s">
        <v>656</v>
      </c>
      <c r="N485" s="167"/>
      <c r="O485" s="166" t="n">
        <v>0</v>
      </c>
      <c r="P485" s="168" t="str">
        <f aca="false">IF(N485="","",N485+CHOOSE(MIN(O485,3)+1,3,7,21,45))</f>
        <v/>
      </c>
      <c r="Q485" s="166"/>
      <c r="R485" s="169"/>
    </row>
    <row r="486" customFormat="false" ht="23.85" hidden="false" customHeight="false" outlineLevel="0" collapsed="false">
      <c r="A486" s="23" t="n">
        <v>485</v>
      </c>
      <c r="B486" s="23" t="s">
        <v>79</v>
      </c>
      <c r="C486" s="44" t="s">
        <v>47</v>
      </c>
      <c r="D486" s="139" t="s">
        <v>563</v>
      </c>
      <c r="E486" s="139" t="s">
        <v>564</v>
      </c>
      <c r="F486" s="23" t="n">
        <v>188</v>
      </c>
      <c r="G486" s="161" t="s">
        <v>1622</v>
      </c>
      <c r="H486" s="175" t="s">
        <v>11</v>
      </c>
      <c r="I486" s="171" t="s">
        <v>653</v>
      </c>
      <c r="J486" s="172" t="s">
        <v>654</v>
      </c>
      <c r="K486" s="23"/>
      <c r="L486" s="165" t="s">
        <v>1623</v>
      </c>
      <c r="M486" s="166" t="s">
        <v>656</v>
      </c>
      <c r="N486" s="167"/>
      <c r="O486" s="166" t="n">
        <v>0</v>
      </c>
      <c r="P486" s="168" t="str">
        <f aca="false">IF(N486="","",N486+CHOOSE(MIN(O486,3)+1,3,7,21,45))</f>
        <v/>
      </c>
      <c r="Q486" s="166"/>
      <c r="R486" s="169"/>
    </row>
    <row r="487" customFormat="false" ht="23.85" hidden="false" customHeight="false" outlineLevel="0" collapsed="false">
      <c r="A487" s="23" t="n">
        <v>486</v>
      </c>
      <c r="B487" s="23" t="s">
        <v>50</v>
      </c>
      <c r="C487" s="44" t="s">
        <v>47</v>
      </c>
      <c r="D487" s="139" t="s">
        <v>567</v>
      </c>
      <c r="E487" s="139" t="s">
        <v>568</v>
      </c>
      <c r="F487" s="23" t="n">
        <v>96</v>
      </c>
      <c r="G487" s="161" t="s">
        <v>1624</v>
      </c>
      <c r="H487" s="170" t="s">
        <v>9</v>
      </c>
      <c r="I487" s="176" t="s">
        <v>15</v>
      </c>
      <c r="J487" s="174" t="s">
        <v>669</v>
      </c>
      <c r="K487" s="23"/>
      <c r="L487" s="165" t="s">
        <v>1625</v>
      </c>
      <c r="M487" s="166" t="s">
        <v>656</v>
      </c>
      <c r="N487" s="167"/>
      <c r="O487" s="166" t="n">
        <v>0</v>
      </c>
      <c r="P487" s="168" t="str">
        <f aca="false">IF(N487="","",N487+CHOOSE(MIN(O487,3)+1,3,7,21,45))</f>
        <v/>
      </c>
      <c r="Q487" s="166"/>
      <c r="R487" s="169"/>
    </row>
    <row r="488" customFormat="false" ht="23.85" hidden="false" customHeight="false" outlineLevel="0" collapsed="false">
      <c r="A488" s="23" t="n">
        <v>487</v>
      </c>
      <c r="B488" s="23" t="s">
        <v>50</v>
      </c>
      <c r="C488" s="44" t="s">
        <v>47</v>
      </c>
      <c r="D488" s="139" t="s">
        <v>567</v>
      </c>
      <c r="E488" s="139" t="s">
        <v>568</v>
      </c>
      <c r="F488" s="23" t="n">
        <v>95</v>
      </c>
      <c r="G488" s="161" t="s">
        <v>1626</v>
      </c>
      <c r="H488" s="170" t="s">
        <v>9</v>
      </c>
      <c r="I488" s="171" t="s">
        <v>653</v>
      </c>
      <c r="J488" s="172" t="s">
        <v>654</v>
      </c>
      <c r="K488" s="23"/>
      <c r="L488" s="165" t="s">
        <v>1627</v>
      </c>
      <c r="M488" s="166" t="s">
        <v>656</v>
      </c>
      <c r="N488" s="167"/>
      <c r="O488" s="166" t="n">
        <v>0</v>
      </c>
      <c r="P488" s="168" t="str">
        <f aca="false">IF(N488="","",N488+CHOOSE(MIN(O488,3)+1,3,7,21,45))</f>
        <v/>
      </c>
      <c r="Q488" s="166"/>
      <c r="R488" s="169"/>
    </row>
    <row r="489" customFormat="false" ht="23.85" hidden="false" customHeight="false" outlineLevel="0" collapsed="false">
      <c r="A489" s="23" t="n">
        <v>488</v>
      </c>
      <c r="B489" s="23" t="s">
        <v>50</v>
      </c>
      <c r="C489" s="44" t="s">
        <v>47</v>
      </c>
      <c r="D489" s="139" t="s">
        <v>567</v>
      </c>
      <c r="E489" s="139" t="s">
        <v>568</v>
      </c>
      <c r="F489" s="23" t="n">
        <v>337</v>
      </c>
      <c r="G489" s="161" t="s">
        <v>1628</v>
      </c>
      <c r="H489" s="170" t="s">
        <v>9</v>
      </c>
      <c r="I489" s="176" t="s">
        <v>15</v>
      </c>
      <c r="J489" s="174" t="s">
        <v>669</v>
      </c>
      <c r="K489" s="23"/>
      <c r="L489" s="165" t="s">
        <v>1629</v>
      </c>
      <c r="M489" s="166" t="s">
        <v>656</v>
      </c>
      <c r="N489" s="167"/>
      <c r="O489" s="166" t="n">
        <v>0</v>
      </c>
      <c r="P489" s="168" t="str">
        <f aca="false">IF(N489="","",N489+CHOOSE(MIN(O489,3)+1,3,7,21,45))</f>
        <v/>
      </c>
      <c r="Q489" s="166"/>
      <c r="R489" s="169"/>
    </row>
    <row r="490" customFormat="false" ht="23.85" hidden="false" customHeight="false" outlineLevel="0" collapsed="false">
      <c r="A490" s="23" t="n">
        <v>489</v>
      </c>
      <c r="B490" s="23" t="s">
        <v>50</v>
      </c>
      <c r="C490" s="44" t="s">
        <v>47</v>
      </c>
      <c r="D490" s="139" t="s">
        <v>567</v>
      </c>
      <c r="E490" s="139" t="s">
        <v>568</v>
      </c>
      <c r="F490" s="23" t="n">
        <v>968</v>
      </c>
      <c r="G490" s="161" t="s">
        <v>1630</v>
      </c>
      <c r="H490" s="175" t="s">
        <v>11</v>
      </c>
      <c r="I490" s="171" t="s">
        <v>653</v>
      </c>
      <c r="J490" s="172" t="s">
        <v>654</v>
      </c>
      <c r="K490" s="23"/>
      <c r="L490" s="165" t="s">
        <v>1631</v>
      </c>
      <c r="M490" s="166" t="s">
        <v>656</v>
      </c>
      <c r="N490" s="167"/>
      <c r="O490" s="166" t="n">
        <v>0</v>
      </c>
      <c r="P490" s="168" t="str">
        <f aca="false">IF(N490="","",N490+CHOOSE(MIN(O490,3)+1,3,7,21,45))</f>
        <v/>
      </c>
      <c r="Q490" s="166"/>
      <c r="R490" s="169"/>
    </row>
    <row r="491" customFormat="false" ht="23.85" hidden="false" customHeight="false" outlineLevel="0" collapsed="false">
      <c r="A491" s="23" t="n">
        <v>490</v>
      </c>
      <c r="B491" s="23" t="s">
        <v>50</v>
      </c>
      <c r="C491" s="44" t="s">
        <v>47</v>
      </c>
      <c r="D491" s="139" t="s">
        <v>567</v>
      </c>
      <c r="E491" s="139" t="s">
        <v>571</v>
      </c>
      <c r="F491" s="23" t="n">
        <v>526</v>
      </c>
      <c r="G491" s="161" t="s">
        <v>1632</v>
      </c>
      <c r="H491" s="170" t="s">
        <v>9</v>
      </c>
      <c r="I491" s="171" t="s">
        <v>653</v>
      </c>
      <c r="J491" s="172" t="s">
        <v>654</v>
      </c>
      <c r="K491" s="23"/>
      <c r="L491" s="165" t="s">
        <v>1633</v>
      </c>
      <c r="M491" s="166" t="s">
        <v>656</v>
      </c>
      <c r="N491" s="167"/>
      <c r="O491" s="166" t="n">
        <v>0</v>
      </c>
      <c r="P491" s="168" t="str">
        <f aca="false">IF(N491="","",N491+CHOOSE(MIN(O491,3)+1,3,7,21,45))</f>
        <v/>
      </c>
      <c r="Q491" s="166"/>
      <c r="R491" s="169"/>
    </row>
    <row r="492" customFormat="false" ht="23.85" hidden="false" customHeight="false" outlineLevel="0" collapsed="false">
      <c r="A492" s="23" t="n">
        <v>491</v>
      </c>
      <c r="B492" s="23" t="s">
        <v>50</v>
      </c>
      <c r="C492" s="44" t="s">
        <v>47</v>
      </c>
      <c r="D492" s="139" t="s">
        <v>567</v>
      </c>
      <c r="E492" s="139" t="s">
        <v>571</v>
      </c>
      <c r="F492" s="23" t="n">
        <v>1986</v>
      </c>
      <c r="G492" s="161" t="s">
        <v>1634</v>
      </c>
      <c r="H492" s="170" t="s">
        <v>9</v>
      </c>
      <c r="I492" s="171" t="s">
        <v>653</v>
      </c>
      <c r="J492" s="172" t="s">
        <v>654</v>
      </c>
      <c r="K492" s="23"/>
      <c r="L492" s="165" t="s">
        <v>1635</v>
      </c>
      <c r="M492" s="166" t="s">
        <v>656</v>
      </c>
      <c r="N492" s="167"/>
      <c r="O492" s="166" t="n">
        <v>0</v>
      </c>
      <c r="P492" s="168" t="str">
        <f aca="false">IF(N492="","",N492+CHOOSE(MIN(O492,3)+1,3,7,21,45))</f>
        <v/>
      </c>
      <c r="Q492" s="166"/>
      <c r="R492" s="169"/>
    </row>
    <row r="493" customFormat="false" ht="23.85" hidden="false" customHeight="false" outlineLevel="0" collapsed="false">
      <c r="A493" s="23" t="n">
        <v>492</v>
      </c>
      <c r="B493" s="23" t="s">
        <v>50</v>
      </c>
      <c r="C493" s="44" t="s">
        <v>47</v>
      </c>
      <c r="D493" s="139" t="s">
        <v>567</v>
      </c>
      <c r="E493" s="139" t="s">
        <v>571</v>
      </c>
      <c r="F493" s="23" t="n">
        <v>847</v>
      </c>
      <c r="G493" s="161" t="s">
        <v>1636</v>
      </c>
      <c r="H493" s="175" t="s">
        <v>11</v>
      </c>
      <c r="I493" s="171" t="s">
        <v>653</v>
      </c>
      <c r="J493" s="172" t="s">
        <v>654</v>
      </c>
      <c r="K493" s="23"/>
      <c r="L493" s="165" t="s">
        <v>1637</v>
      </c>
      <c r="M493" s="166" t="s">
        <v>656</v>
      </c>
      <c r="N493" s="167"/>
      <c r="O493" s="166" t="n">
        <v>0</v>
      </c>
      <c r="P493" s="168" t="str">
        <f aca="false">IF(N493="","",N493+CHOOSE(MIN(O493,3)+1,3,7,21,45))</f>
        <v/>
      </c>
      <c r="Q493" s="166"/>
      <c r="R493" s="169"/>
    </row>
    <row r="494" customFormat="false" ht="23.85" hidden="false" customHeight="false" outlineLevel="0" collapsed="false">
      <c r="A494" s="23" t="n">
        <v>493</v>
      </c>
      <c r="B494" s="23" t="s">
        <v>50</v>
      </c>
      <c r="C494" s="44" t="s">
        <v>47</v>
      </c>
      <c r="D494" s="139" t="s">
        <v>567</v>
      </c>
      <c r="E494" s="139" t="s">
        <v>575</v>
      </c>
      <c r="F494" s="23" t="n">
        <v>233</v>
      </c>
      <c r="G494" s="161" t="s">
        <v>1638</v>
      </c>
      <c r="H494" s="175" t="s">
        <v>11</v>
      </c>
      <c r="I494" s="171" t="s">
        <v>653</v>
      </c>
      <c r="J494" s="172" t="s">
        <v>654</v>
      </c>
      <c r="K494" s="23"/>
      <c r="L494" s="165" t="s">
        <v>1639</v>
      </c>
      <c r="M494" s="166" t="s">
        <v>656</v>
      </c>
      <c r="N494" s="167"/>
      <c r="O494" s="166" t="n">
        <v>0</v>
      </c>
      <c r="P494" s="168" t="str">
        <f aca="false">IF(N494="","",N494+CHOOSE(MIN(O494,3)+1,3,7,21,45))</f>
        <v/>
      </c>
      <c r="Q494" s="166"/>
      <c r="R494" s="169"/>
    </row>
    <row r="495" customFormat="false" ht="23.85" hidden="false" customHeight="false" outlineLevel="0" collapsed="false">
      <c r="A495" s="23" t="n">
        <v>494</v>
      </c>
      <c r="B495" s="23" t="s">
        <v>50</v>
      </c>
      <c r="C495" s="44" t="s">
        <v>47</v>
      </c>
      <c r="D495" s="139" t="s">
        <v>567</v>
      </c>
      <c r="E495" s="139" t="s">
        <v>575</v>
      </c>
      <c r="F495" s="23" t="n">
        <v>902</v>
      </c>
      <c r="G495" s="161" t="s">
        <v>1640</v>
      </c>
      <c r="H495" s="175" t="s">
        <v>11</v>
      </c>
      <c r="I495" s="171" t="s">
        <v>653</v>
      </c>
      <c r="J495" s="172" t="s">
        <v>654</v>
      </c>
      <c r="K495" s="23"/>
      <c r="L495" s="165" t="s">
        <v>1641</v>
      </c>
      <c r="M495" s="166" t="s">
        <v>656</v>
      </c>
      <c r="N495" s="167"/>
      <c r="O495" s="166" t="n">
        <v>0</v>
      </c>
      <c r="P495" s="168" t="str">
        <f aca="false">IF(N495="","",N495+CHOOSE(MIN(O495,3)+1,3,7,21,45))</f>
        <v/>
      </c>
      <c r="Q495" s="166"/>
      <c r="R495" s="169"/>
    </row>
    <row r="496" customFormat="false" ht="15" hidden="false" customHeight="false" outlineLevel="0" collapsed="false">
      <c r="A496" s="23" t="n">
        <v>495</v>
      </c>
      <c r="B496" s="23" t="s">
        <v>50</v>
      </c>
      <c r="C496" s="45" t="s">
        <v>49</v>
      </c>
      <c r="D496" s="144" t="s">
        <v>580</v>
      </c>
      <c r="E496" s="144" t="s">
        <v>581</v>
      </c>
      <c r="F496" s="23" t="n">
        <v>912</v>
      </c>
      <c r="G496" s="161" t="s">
        <v>1642</v>
      </c>
      <c r="H496" s="170" t="s">
        <v>9</v>
      </c>
      <c r="I496" s="176" t="s">
        <v>15</v>
      </c>
      <c r="J496" s="174" t="s">
        <v>669</v>
      </c>
      <c r="K496" s="23"/>
      <c r="L496" s="165" t="s">
        <v>1643</v>
      </c>
      <c r="M496" s="166" t="s">
        <v>656</v>
      </c>
      <c r="N496" s="167"/>
      <c r="O496" s="166" t="n">
        <v>0</v>
      </c>
      <c r="P496" s="168" t="str">
        <f aca="false">IF(N496="","",N496+CHOOSE(MIN(O496,3)+1,3,7,21,45))</f>
        <v/>
      </c>
      <c r="Q496" s="166"/>
      <c r="R496" s="169"/>
    </row>
    <row r="497" customFormat="false" ht="15" hidden="false" customHeight="false" outlineLevel="0" collapsed="false">
      <c r="A497" s="23" t="n">
        <v>496</v>
      </c>
      <c r="B497" s="23" t="s">
        <v>50</v>
      </c>
      <c r="C497" s="45" t="s">
        <v>49</v>
      </c>
      <c r="D497" s="144" t="s">
        <v>580</v>
      </c>
      <c r="E497" s="144" t="s">
        <v>581</v>
      </c>
      <c r="F497" s="23" t="n">
        <v>148</v>
      </c>
      <c r="G497" s="161" t="s">
        <v>1644</v>
      </c>
      <c r="H497" s="170" t="s">
        <v>9</v>
      </c>
      <c r="I497" s="176" t="s">
        <v>15</v>
      </c>
      <c r="J497" s="174" t="s">
        <v>669</v>
      </c>
      <c r="K497" s="23"/>
      <c r="L497" s="165" t="s">
        <v>1645</v>
      </c>
      <c r="M497" s="166" t="s">
        <v>656</v>
      </c>
      <c r="N497" s="167"/>
      <c r="O497" s="166" t="n">
        <v>0</v>
      </c>
      <c r="P497" s="168" t="str">
        <f aca="false">IF(N497="","",N497+CHOOSE(MIN(O497,3)+1,3,7,21,45))</f>
        <v/>
      </c>
      <c r="Q497" s="166"/>
      <c r="R497" s="169"/>
    </row>
    <row r="498" customFormat="false" ht="15" hidden="false" customHeight="false" outlineLevel="0" collapsed="false">
      <c r="A498" s="23" t="n">
        <v>497</v>
      </c>
      <c r="B498" s="23" t="s">
        <v>50</v>
      </c>
      <c r="C498" s="45" t="s">
        <v>49</v>
      </c>
      <c r="D498" s="144" t="s">
        <v>580</v>
      </c>
      <c r="E498" s="144" t="s">
        <v>581</v>
      </c>
      <c r="F498" s="23" t="n">
        <v>493</v>
      </c>
      <c r="G498" s="161" t="s">
        <v>1646</v>
      </c>
      <c r="H498" s="175" t="s">
        <v>11</v>
      </c>
      <c r="I498" s="171" t="s">
        <v>653</v>
      </c>
      <c r="J498" s="172" t="s">
        <v>654</v>
      </c>
      <c r="K498" s="23"/>
      <c r="L498" s="165" t="s">
        <v>1647</v>
      </c>
      <c r="M498" s="166" t="s">
        <v>656</v>
      </c>
      <c r="N498" s="167"/>
      <c r="O498" s="166" t="n">
        <v>0</v>
      </c>
      <c r="P498" s="168" t="str">
        <f aca="false">IF(N498="","",N498+CHOOSE(MIN(O498,3)+1,3,7,21,45))</f>
        <v/>
      </c>
      <c r="Q498" s="166"/>
      <c r="R498" s="169"/>
    </row>
    <row r="499" customFormat="false" ht="15" hidden="false" customHeight="false" outlineLevel="0" collapsed="false">
      <c r="A499" s="23" t="n">
        <v>498</v>
      </c>
      <c r="B499" s="23" t="s">
        <v>50</v>
      </c>
      <c r="C499" s="45" t="s">
        <v>49</v>
      </c>
      <c r="D499" s="144" t="s">
        <v>580</v>
      </c>
      <c r="E499" s="144" t="s">
        <v>581</v>
      </c>
      <c r="F499" s="23" t="n">
        <v>315</v>
      </c>
      <c r="G499" s="161" t="s">
        <v>1648</v>
      </c>
      <c r="H499" s="175" t="s">
        <v>11</v>
      </c>
      <c r="I499" s="176" t="s">
        <v>15</v>
      </c>
      <c r="J499" s="174" t="s">
        <v>669</v>
      </c>
      <c r="K499" s="23"/>
      <c r="L499" s="165" t="s">
        <v>1649</v>
      </c>
      <c r="M499" s="166" t="s">
        <v>656</v>
      </c>
      <c r="N499" s="167"/>
      <c r="O499" s="166" t="n">
        <v>0</v>
      </c>
      <c r="P499" s="168" t="str">
        <f aca="false">IF(N499="","",N499+CHOOSE(MIN(O499,3)+1,3,7,21,45))</f>
        <v/>
      </c>
      <c r="Q499" s="166"/>
      <c r="R499" s="169"/>
    </row>
    <row r="500" customFormat="false" ht="15" hidden="false" customHeight="false" outlineLevel="0" collapsed="false">
      <c r="A500" s="23" t="n">
        <v>499</v>
      </c>
      <c r="B500" s="23" t="s">
        <v>50</v>
      </c>
      <c r="C500" s="45" t="s">
        <v>49</v>
      </c>
      <c r="D500" s="144" t="s">
        <v>580</v>
      </c>
      <c r="E500" s="144" t="s">
        <v>584</v>
      </c>
      <c r="F500" s="23" t="n">
        <v>324</v>
      </c>
      <c r="G500" s="161" t="s">
        <v>1650</v>
      </c>
      <c r="H500" s="170" t="s">
        <v>9</v>
      </c>
      <c r="I500" s="171" t="s">
        <v>653</v>
      </c>
      <c r="J500" s="172" t="s">
        <v>654</v>
      </c>
      <c r="K500" s="23"/>
      <c r="L500" s="165" t="s">
        <v>1651</v>
      </c>
      <c r="M500" s="166" t="s">
        <v>656</v>
      </c>
      <c r="N500" s="167"/>
      <c r="O500" s="166" t="n">
        <v>0</v>
      </c>
      <c r="P500" s="168" t="str">
        <f aca="false">IF(N500="","",N500+CHOOSE(MIN(O500,3)+1,3,7,21,45))</f>
        <v/>
      </c>
      <c r="Q500" s="166"/>
      <c r="R500" s="169"/>
    </row>
    <row r="501" customFormat="false" ht="15" hidden="false" customHeight="false" outlineLevel="0" collapsed="false">
      <c r="A501" s="23" t="n">
        <v>500</v>
      </c>
      <c r="B501" s="23" t="s">
        <v>50</v>
      </c>
      <c r="C501" s="45" t="s">
        <v>49</v>
      </c>
      <c r="D501" s="144" t="s">
        <v>580</v>
      </c>
      <c r="E501" s="144" t="s">
        <v>587</v>
      </c>
      <c r="F501" s="23" t="n">
        <v>1636</v>
      </c>
      <c r="G501" s="161" t="s">
        <v>1652</v>
      </c>
      <c r="H501" s="162" t="s">
        <v>7</v>
      </c>
      <c r="I501" s="171" t="s">
        <v>653</v>
      </c>
      <c r="J501" s="172" t="s">
        <v>654</v>
      </c>
      <c r="K501" s="23"/>
      <c r="L501" s="165" t="s">
        <v>1653</v>
      </c>
      <c r="M501" s="166" t="s">
        <v>656</v>
      </c>
      <c r="N501" s="167"/>
      <c r="O501" s="166" t="n">
        <v>0</v>
      </c>
      <c r="P501" s="168" t="str">
        <f aca="false">IF(N501="","",N501+CHOOSE(MIN(O501,3)+1,3,7,21,45))</f>
        <v/>
      </c>
      <c r="Q501" s="166"/>
      <c r="R501" s="169"/>
    </row>
    <row r="502" customFormat="false" ht="15" hidden="false" customHeight="false" outlineLevel="0" collapsed="false">
      <c r="A502" s="23" t="n">
        <v>501</v>
      </c>
      <c r="B502" s="23" t="s">
        <v>50</v>
      </c>
      <c r="C502" s="45" t="s">
        <v>49</v>
      </c>
      <c r="D502" s="144" t="s">
        <v>580</v>
      </c>
      <c r="E502" s="144" t="s">
        <v>587</v>
      </c>
      <c r="F502" s="23" t="n">
        <v>179</v>
      </c>
      <c r="G502" s="161" t="s">
        <v>1654</v>
      </c>
      <c r="H502" s="170" t="s">
        <v>9</v>
      </c>
      <c r="I502" s="176" t="s">
        <v>15</v>
      </c>
      <c r="J502" s="174" t="s">
        <v>669</v>
      </c>
      <c r="K502" s="23"/>
      <c r="L502" s="165" t="s">
        <v>1655</v>
      </c>
      <c r="M502" s="166" t="s">
        <v>656</v>
      </c>
      <c r="N502" s="167"/>
      <c r="O502" s="166" t="n">
        <v>0</v>
      </c>
      <c r="P502" s="168" t="str">
        <f aca="false">IF(N502="","",N502+CHOOSE(MIN(O502,3)+1,3,7,21,45))</f>
        <v/>
      </c>
      <c r="Q502" s="166"/>
      <c r="R502" s="169"/>
    </row>
    <row r="503" customFormat="false" ht="15" hidden="false" customHeight="false" outlineLevel="0" collapsed="false">
      <c r="A503" s="23" t="n">
        <v>502</v>
      </c>
      <c r="B503" s="23" t="s">
        <v>50</v>
      </c>
      <c r="C503" s="45" t="s">
        <v>49</v>
      </c>
      <c r="D503" s="144" t="s">
        <v>580</v>
      </c>
      <c r="E503" s="144" t="s">
        <v>587</v>
      </c>
      <c r="F503" s="23" t="n">
        <v>937</v>
      </c>
      <c r="G503" s="161" t="s">
        <v>1656</v>
      </c>
      <c r="H503" s="170" t="s">
        <v>9</v>
      </c>
      <c r="I503" s="171" t="s">
        <v>653</v>
      </c>
      <c r="J503" s="172" t="s">
        <v>654</v>
      </c>
      <c r="K503" s="23"/>
      <c r="L503" s="165" t="s">
        <v>1657</v>
      </c>
      <c r="M503" s="166" t="s">
        <v>656</v>
      </c>
      <c r="N503" s="167"/>
      <c r="O503" s="166" t="n">
        <v>0</v>
      </c>
      <c r="P503" s="168" t="str">
        <f aca="false">IF(N503="","",N503+CHOOSE(MIN(O503,3)+1,3,7,21,45))</f>
        <v/>
      </c>
      <c r="Q503" s="166"/>
      <c r="R503" s="169"/>
    </row>
    <row r="504" customFormat="false" ht="15" hidden="false" customHeight="false" outlineLevel="0" collapsed="false">
      <c r="A504" s="23" t="n">
        <v>503</v>
      </c>
      <c r="B504" s="23" t="s">
        <v>50</v>
      </c>
      <c r="C504" s="45" t="s">
        <v>49</v>
      </c>
      <c r="D504" s="144" t="s">
        <v>580</v>
      </c>
      <c r="E504" s="144" t="s">
        <v>590</v>
      </c>
      <c r="F504" s="23" t="n">
        <v>1122</v>
      </c>
      <c r="G504" s="161" t="s">
        <v>1658</v>
      </c>
      <c r="H504" s="162" t="s">
        <v>7</v>
      </c>
      <c r="I504" s="171" t="s">
        <v>653</v>
      </c>
      <c r="J504" s="172" t="s">
        <v>654</v>
      </c>
      <c r="K504" s="23"/>
      <c r="L504" s="165" t="s">
        <v>1659</v>
      </c>
      <c r="M504" s="166" t="s">
        <v>656</v>
      </c>
      <c r="N504" s="167"/>
      <c r="O504" s="166" t="n">
        <v>0</v>
      </c>
      <c r="P504" s="168" t="str">
        <f aca="false">IF(N504="","",N504+CHOOSE(MIN(O504,3)+1,3,7,21,45))</f>
        <v/>
      </c>
      <c r="Q504" s="166"/>
      <c r="R504" s="169"/>
    </row>
    <row r="505" customFormat="false" ht="15" hidden="false" customHeight="false" outlineLevel="0" collapsed="false">
      <c r="A505" s="23" t="n">
        <v>504</v>
      </c>
      <c r="B505" s="23" t="s">
        <v>50</v>
      </c>
      <c r="C505" s="45" t="s">
        <v>49</v>
      </c>
      <c r="D505" s="144" t="s">
        <v>580</v>
      </c>
      <c r="E505" s="144" t="s">
        <v>590</v>
      </c>
      <c r="F505" s="23" t="n">
        <v>274</v>
      </c>
      <c r="G505" s="161" t="s">
        <v>1660</v>
      </c>
      <c r="H505" s="170" t="s">
        <v>9</v>
      </c>
      <c r="I505" s="171" t="s">
        <v>653</v>
      </c>
      <c r="J505" s="172" t="s">
        <v>654</v>
      </c>
      <c r="K505" s="23"/>
      <c r="L505" s="165" t="s">
        <v>1661</v>
      </c>
      <c r="M505" s="166" t="s">
        <v>656</v>
      </c>
      <c r="N505" s="167"/>
      <c r="O505" s="166" t="n">
        <v>0</v>
      </c>
      <c r="P505" s="168" t="str">
        <f aca="false">IF(N505="","",N505+CHOOSE(MIN(O505,3)+1,3,7,21,45))</f>
        <v/>
      </c>
      <c r="Q505" s="166"/>
      <c r="R505" s="169"/>
    </row>
    <row r="506" customFormat="false" ht="15" hidden="false" customHeight="false" outlineLevel="0" collapsed="false">
      <c r="A506" s="23" t="n">
        <v>505</v>
      </c>
      <c r="B506" s="23" t="s">
        <v>50</v>
      </c>
      <c r="C506" s="45" t="s">
        <v>49</v>
      </c>
      <c r="D506" s="144" t="s">
        <v>580</v>
      </c>
      <c r="E506" s="144" t="s">
        <v>590</v>
      </c>
      <c r="F506" s="23" t="n">
        <v>164</v>
      </c>
      <c r="G506" s="161" t="s">
        <v>1662</v>
      </c>
      <c r="H506" s="170" t="s">
        <v>9</v>
      </c>
      <c r="I506" s="171" t="s">
        <v>653</v>
      </c>
      <c r="J506" s="172" t="s">
        <v>654</v>
      </c>
      <c r="K506" s="23"/>
      <c r="L506" s="165" t="s">
        <v>1663</v>
      </c>
      <c r="M506" s="166" t="s">
        <v>656</v>
      </c>
      <c r="N506" s="167"/>
      <c r="O506" s="166" t="n">
        <v>0</v>
      </c>
      <c r="P506" s="168" t="str">
        <f aca="false">IF(N506="","",N506+CHOOSE(MIN(O506,3)+1,3,7,21,45))</f>
        <v/>
      </c>
      <c r="Q506" s="166"/>
      <c r="R506" s="169"/>
    </row>
    <row r="507" customFormat="false" ht="15" hidden="false" customHeight="false" outlineLevel="0" collapsed="false">
      <c r="A507" s="23" t="n">
        <v>506</v>
      </c>
      <c r="B507" s="23" t="s">
        <v>50</v>
      </c>
      <c r="C507" s="45" t="s">
        <v>49</v>
      </c>
      <c r="D507" s="144" t="s">
        <v>580</v>
      </c>
      <c r="E507" s="144" t="s">
        <v>590</v>
      </c>
      <c r="F507" s="23" t="n">
        <v>220</v>
      </c>
      <c r="G507" s="161" t="s">
        <v>1664</v>
      </c>
      <c r="H507" s="175" t="s">
        <v>11</v>
      </c>
      <c r="I507" s="171" t="s">
        <v>653</v>
      </c>
      <c r="J507" s="172" t="s">
        <v>654</v>
      </c>
      <c r="K507" s="23"/>
      <c r="L507" s="165" t="s">
        <v>1665</v>
      </c>
      <c r="M507" s="166" t="s">
        <v>656</v>
      </c>
      <c r="N507" s="167"/>
      <c r="O507" s="166" t="n">
        <v>0</v>
      </c>
      <c r="P507" s="168" t="str">
        <f aca="false">IF(N507="","",N507+CHOOSE(MIN(O507,3)+1,3,7,21,45))</f>
        <v/>
      </c>
      <c r="Q507" s="166"/>
      <c r="R507" s="169"/>
    </row>
    <row r="508" customFormat="false" ht="23.85" hidden="false" customHeight="false" outlineLevel="0" collapsed="false">
      <c r="A508" s="23" t="n">
        <v>507</v>
      </c>
      <c r="B508" s="23" t="s">
        <v>50</v>
      </c>
      <c r="C508" s="46" t="s">
        <v>51</v>
      </c>
      <c r="D508" s="149" t="s">
        <v>595</v>
      </c>
      <c r="E508" s="149" t="s">
        <v>596</v>
      </c>
      <c r="F508" s="23" t="n">
        <v>66</v>
      </c>
      <c r="G508" s="161" t="s">
        <v>1666</v>
      </c>
      <c r="H508" s="162" t="s">
        <v>7</v>
      </c>
      <c r="I508" s="173" t="s">
        <v>668</v>
      </c>
      <c r="J508" s="174" t="s">
        <v>669</v>
      </c>
      <c r="K508" s="23"/>
      <c r="L508" s="165" t="s">
        <v>1667</v>
      </c>
      <c r="M508" s="166" t="s">
        <v>656</v>
      </c>
      <c r="N508" s="167"/>
      <c r="O508" s="166" t="n">
        <v>0</v>
      </c>
      <c r="P508" s="168" t="str">
        <f aca="false">IF(N508="","",N508+CHOOSE(MIN(O508,3)+1,3,7,21,45))</f>
        <v/>
      </c>
      <c r="Q508" s="166"/>
      <c r="R508" s="169"/>
    </row>
    <row r="509" customFormat="false" ht="23.85" hidden="false" customHeight="false" outlineLevel="0" collapsed="false">
      <c r="A509" s="23" t="n">
        <v>508</v>
      </c>
      <c r="B509" s="23" t="s">
        <v>50</v>
      </c>
      <c r="C509" s="46" t="s">
        <v>51</v>
      </c>
      <c r="D509" s="149" t="s">
        <v>595</v>
      </c>
      <c r="E509" s="149" t="s">
        <v>596</v>
      </c>
      <c r="F509" s="23" t="n">
        <v>1071</v>
      </c>
      <c r="G509" s="161" t="s">
        <v>1668</v>
      </c>
      <c r="H509" s="162" t="s">
        <v>7</v>
      </c>
      <c r="I509" s="171" t="s">
        <v>653</v>
      </c>
      <c r="J509" s="172" t="s">
        <v>654</v>
      </c>
      <c r="K509" s="23"/>
      <c r="L509" s="165" t="s">
        <v>1669</v>
      </c>
      <c r="M509" s="166" t="s">
        <v>656</v>
      </c>
      <c r="N509" s="167"/>
      <c r="O509" s="166" t="n">
        <v>0</v>
      </c>
      <c r="P509" s="168" t="str">
        <f aca="false">IF(N509="","",N509+CHOOSE(MIN(O509,3)+1,3,7,21,45))</f>
        <v/>
      </c>
      <c r="Q509" s="166"/>
      <c r="R509" s="169"/>
    </row>
    <row r="510" customFormat="false" ht="23.85" hidden="false" customHeight="false" outlineLevel="0" collapsed="false">
      <c r="A510" s="23" t="n">
        <v>509</v>
      </c>
      <c r="B510" s="23" t="s">
        <v>50</v>
      </c>
      <c r="C510" s="46" t="s">
        <v>51</v>
      </c>
      <c r="D510" s="149" t="s">
        <v>595</v>
      </c>
      <c r="E510" s="149" t="s">
        <v>596</v>
      </c>
      <c r="F510" s="23" t="n">
        <v>1979</v>
      </c>
      <c r="G510" s="161" t="s">
        <v>1670</v>
      </c>
      <c r="H510" s="162" t="s">
        <v>7</v>
      </c>
      <c r="I510" s="171" t="s">
        <v>653</v>
      </c>
      <c r="J510" s="172" t="s">
        <v>654</v>
      </c>
      <c r="K510" s="23"/>
      <c r="L510" s="165" t="s">
        <v>1671</v>
      </c>
      <c r="M510" s="166" t="s">
        <v>656</v>
      </c>
      <c r="N510" s="167"/>
      <c r="O510" s="166" t="n">
        <v>0</v>
      </c>
      <c r="P510" s="168" t="str">
        <f aca="false">IF(N510="","",N510+CHOOSE(MIN(O510,3)+1,3,7,21,45))</f>
        <v/>
      </c>
      <c r="Q510" s="166"/>
      <c r="R510" s="169"/>
    </row>
    <row r="511" customFormat="false" ht="23.85" hidden="false" customHeight="false" outlineLevel="0" collapsed="false">
      <c r="A511" s="23" t="n">
        <v>510</v>
      </c>
      <c r="B511" s="23" t="s">
        <v>50</v>
      </c>
      <c r="C511" s="46" t="s">
        <v>51</v>
      </c>
      <c r="D511" s="149" t="s">
        <v>595</v>
      </c>
      <c r="E511" s="149" t="s">
        <v>596</v>
      </c>
      <c r="F511" s="23" t="n">
        <v>204</v>
      </c>
      <c r="G511" s="161" t="s">
        <v>1672</v>
      </c>
      <c r="H511" s="170" t="s">
        <v>9</v>
      </c>
      <c r="I511" s="171" t="s">
        <v>653</v>
      </c>
      <c r="J511" s="172" t="s">
        <v>654</v>
      </c>
      <c r="K511" s="23"/>
      <c r="L511" s="165" t="s">
        <v>1673</v>
      </c>
      <c r="M511" s="166" t="s">
        <v>656</v>
      </c>
      <c r="N511" s="167"/>
      <c r="O511" s="166" t="n">
        <v>0</v>
      </c>
      <c r="P511" s="168" t="str">
        <f aca="false">IF(N511="","",N511+CHOOSE(MIN(O511,3)+1,3,7,21,45))</f>
        <v/>
      </c>
      <c r="Q511" s="166"/>
      <c r="R511" s="169"/>
    </row>
    <row r="512" customFormat="false" ht="23.85" hidden="false" customHeight="false" outlineLevel="0" collapsed="false">
      <c r="A512" s="23" t="n">
        <v>511</v>
      </c>
      <c r="B512" s="23" t="s">
        <v>50</v>
      </c>
      <c r="C512" s="46" t="s">
        <v>51</v>
      </c>
      <c r="D512" s="149" t="s">
        <v>595</v>
      </c>
      <c r="E512" s="149" t="s">
        <v>596</v>
      </c>
      <c r="F512" s="23" t="n">
        <v>172</v>
      </c>
      <c r="G512" s="161" t="s">
        <v>1674</v>
      </c>
      <c r="H512" s="170" t="s">
        <v>9</v>
      </c>
      <c r="I512" s="171" t="s">
        <v>653</v>
      </c>
      <c r="J512" s="172" t="s">
        <v>654</v>
      </c>
      <c r="K512" s="23"/>
      <c r="L512" s="165" t="s">
        <v>1675</v>
      </c>
      <c r="M512" s="166" t="s">
        <v>656</v>
      </c>
      <c r="N512" s="167"/>
      <c r="O512" s="166" t="n">
        <v>0</v>
      </c>
      <c r="P512" s="168" t="str">
        <f aca="false">IF(N512="","",N512+CHOOSE(MIN(O512,3)+1,3,7,21,45))</f>
        <v/>
      </c>
      <c r="Q512" s="166"/>
      <c r="R512" s="169"/>
    </row>
    <row r="513" customFormat="false" ht="15" hidden="false" customHeight="false" outlineLevel="0" collapsed="false">
      <c r="A513" s="23" t="n">
        <v>512</v>
      </c>
      <c r="B513" s="23" t="s">
        <v>50</v>
      </c>
      <c r="C513" s="46" t="s">
        <v>51</v>
      </c>
      <c r="D513" s="149" t="s">
        <v>595</v>
      </c>
      <c r="E513" s="149" t="s">
        <v>600</v>
      </c>
      <c r="F513" s="23" t="n">
        <v>384</v>
      </c>
      <c r="G513" s="161" t="s">
        <v>1676</v>
      </c>
      <c r="H513" s="170" t="s">
        <v>9</v>
      </c>
      <c r="I513" s="171" t="s">
        <v>653</v>
      </c>
      <c r="J513" s="172" t="s">
        <v>654</v>
      </c>
      <c r="K513" s="23"/>
      <c r="L513" s="165" t="s">
        <v>1677</v>
      </c>
      <c r="M513" s="166" t="s">
        <v>656</v>
      </c>
      <c r="N513" s="167"/>
      <c r="O513" s="166" t="n">
        <v>0</v>
      </c>
      <c r="P513" s="168" t="str">
        <f aca="false">IF(N513="","",N513+CHOOSE(MIN(O513,3)+1,3,7,21,45))</f>
        <v/>
      </c>
      <c r="Q513" s="166"/>
      <c r="R513" s="169"/>
    </row>
    <row r="514" customFormat="false" ht="15" hidden="false" customHeight="false" outlineLevel="0" collapsed="false">
      <c r="A514" s="23" t="n">
        <v>513</v>
      </c>
      <c r="B514" s="23" t="s">
        <v>50</v>
      </c>
      <c r="C514" s="46" t="s">
        <v>51</v>
      </c>
      <c r="D514" s="149" t="s">
        <v>595</v>
      </c>
      <c r="E514" s="149" t="s">
        <v>600</v>
      </c>
      <c r="F514" s="23" t="n">
        <v>528</v>
      </c>
      <c r="G514" s="161" t="s">
        <v>1678</v>
      </c>
      <c r="H514" s="170" t="s">
        <v>9</v>
      </c>
      <c r="I514" s="176" t="s">
        <v>15</v>
      </c>
      <c r="J514" s="174" t="s">
        <v>669</v>
      </c>
      <c r="K514" s="23"/>
      <c r="L514" s="165" t="s">
        <v>1679</v>
      </c>
      <c r="M514" s="166" t="s">
        <v>656</v>
      </c>
      <c r="N514" s="167"/>
      <c r="O514" s="166" t="n">
        <v>0</v>
      </c>
      <c r="P514" s="168" t="str">
        <f aca="false">IF(N514="","",N514+CHOOSE(MIN(O514,3)+1,3,7,21,45))</f>
        <v/>
      </c>
      <c r="Q514" s="166"/>
      <c r="R514" s="169"/>
    </row>
    <row r="515" customFormat="false" ht="15" hidden="false" customHeight="false" outlineLevel="0" collapsed="false">
      <c r="A515" s="23" t="n">
        <v>514</v>
      </c>
      <c r="B515" s="23" t="s">
        <v>50</v>
      </c>
      <c r="C515" s="46" t="s">
        <v>51</v>
      </c>
      <c r="D515" s="149" t="s">
        <v>595</v>
      </c>
      <c r="E515" s="149" t="s">
        <v>600</v>
      </c>
      <c r="F515" s="23" t="n">
        <v>382</v>
      </c>
      <c r="G515" s="161" t="s">
        <v>1680</v>
      </c>
      <c r="H515" s="170" t="s">
        <v>9</v>
      </c>
      <c r="I515" s="171" t="s">
        <v>653</v>
      </c>
      <c r="J515" s="172" t="s">
        <v>654</v>
      </c>
      <c r="K515" s="23"/>
      <c r="L515" s="165" t="s">
        <v>1681</v>
      </c>
      <c r="M515" s="166" t="s">
        <v>656</v>
      </c>
      <c r="N515" s="167"/>
      <c r="O515" s="166" t="n">
        <v>0</v>
      </c>
      <c r="P515" s="168" t="str">
        <f aca="false">IF(N515="","",N515+CHOOSE(MIN(O515,3)+1,3,7,21,45))</f>
        <v/>
      </c>
      <c r="Q515" s="166"/>
      <c r="R515" s="169"/>
    </row>
    <row r="516" customFormat="false" ht="15" hidden="false" customHeight="false" outlineLevel="0" collapsed="false">
      <c r="A516" s="23" t="n">
        <v>515</v>
      </c>
      <c r="B516" s="23" t="s">
        <v>50</v>
      </c>
      <c r="C516" s="46" t="s">
        <v>51</v>
      </c>
      <c r="D516" s="149" t="s">
        <v>595</v>
      </c>
      <c r="E516" s="149" t="s">
        <v>600</v>
      </c>
      <c r="F516" s="23" t="n">
        <v>470</v>
      </c>
      <c r="G516" s="161" t="s">
        <v>1682</v>
      </c>
      <c r="H516" s="170" t="s">
        <v>9</v>
      </c>
      <c r="I516" s="171" t="s">
        <v>653</v>
      </c>
      <c r="J516" s="172" t="s">
        <v>654</v>
      </c>
      <c r="K516" s="23"/>
      <c r="L516" s="165" t="s">
        <v>1683</v>
      </c>
      <c r="M516" s="166" t="s">
        <v>656</v>
      </c>
      <c r="N516" s="167"/>
      <c r="O516" s="166" t="n">
        <v>0</v>
      </c>
      <c r="P516" s="168" t="str">
        <f aca="false">IF(N516="","",N516+CHOOSE(MIN(O516,3)+1,3,7,21,45))</f>
        <v/>
      </c>
      <c r="Q516" s="166"/>
      <c r="R516" s="169"/>
    </row>
    <row r="517" customFormat="false" ht="15" hidden="false" customHeight="false" outlineLevel="0" collapsed="false">
      <c r="A517" s="23" t="n">
        <v>516</v>
      </c>
      <c r="B517" s="23" t="s">
        <v>50</v>
      </c>
      <c r="C517" s="46" t="s">
        <v>51</v>
      </c>
      <c r="D517" s="149" t="s">
        <v>603</v>
      </c>
      <c r="E517" s="149" t="s">
        <v>604</v>
      </c>
      <c r="F517" s="23" t="n">
        <v>836</v>
      </c>
      <c r="G517" s="161" t="s">
        <v>1684</v>
      </c>
      <c r="H517" s="162" t="s">
        <v>7</v>
      </c>
      <c r="I517" s="171" t="s">
        <v>653</v>
      </c>
      <c r="J517" s="172" t="s">
        <v>654</v>
      </c>
      <c r="K517" s="23"/>
      <c r="L517" s="165" t="s">
        <v>1685</v>
      </c>
      <c r="M517" s="166" t="s">
        <v>656</v>
      </c>
      <c r="N517" s="167"/>
      <c r="O517" s="166" t="n">
        <v>0</v>
      </c>
      <c r="P517" s="168" t="str">
        <f aca="false">IF(N517="","",N517+CHOOSE(MIN(O517,3)+1,3,7,21,45))</f>
        <v/>
      </c>
      <c r="Q517" s="166"/>
      <c r="R517" s="169"/>
    </row>
    <row r="518" customFormat="false" ht="15" hidden="false" customHeight="false" outlineLevel="0" collapsed="false">
      <c r="A518" s="23" t="n">
        <v>517</v>
      </c>
      <c r="B518" s="23" t="s">
        <v>50</v>
      </c>
      <c r="C518" s="46" t="s">
        <v>51</v>
      </c>
      <c r="D518" s="149" t="s">
        <v>603</v>
      </c>
      <c r="E518" s="149" t="s">
        <v>604</v>
      </c>
      <c r="F518" s="23" t="n">
        <v>223</v>
      </c>
      <c r="G518" s="161" t="s">
        <v>1686</v>
      </c>
      <c r="H518" s="170" t="s">
        <v>9</v>
      </c>
      <c r="I518" s="171" t="s">
        <v>653</v>
      </c>
      <c r="J518" s="172" t="s">
        <v>654</v>
      </c>
      <c r="K518" s="23"/>
      <c r="L518" s="165" t="s">
        <v>1687</v>
      </c>
      <c r="M518" s="166" t="s">
        <v>656</v>
      </c>
      <c r="N518" s="167"/>
      <c r="O518" s="166" t="n">
        <v>0</v>
      </c>
      <c r="P518" s="168" t="str">
        <f aca="false">IF(N518="","",N518+CHOOSE(MIN(O518,3)+1,3,7,21,45))</f>
        <v/>
      </c>
      <c r="Q518" s="166"/>
      <c r="R518" s="169"/>
    </row>
    <row r="519" customFormat="false" ht="15" hidden="false" customHeight="false" outlineLevel="0" collapsed="false">
      <c r="A519" s="23" t="n">
        <v>518</v>
      </c>
      <c r="B519" s="23" t="s">
        <v>50</v>
      </c>
      <c r="C519" s="46" t="s">
        <v>51</v>
      </c>
      <c r="D519" s="149" t="s">
        <v>603</v>
      </c>
      <c r="E519" s="149" t="s">
        <v>604</v>
      </c>
      <c r="F519" s="23" t="n">
        <v>2013</v>
      </c>
      <c r="G519" s="161" t="s">
        <v>1688</v>
      </c>
      <c r="H519" s="170" t="s">
        <v>9</v>
      </c>
      <c r="I519" s="173" t="s">
        <v>668</v>
      </c>
      <c r="J519" s="174" t="s">
        <v>669</v>
      </c>
      <c r="K519" s="23"/>
      <c r="L519" s="165" t="s">
        <v>1689</v>
      </c>
      <c r="M519" s="166" t="s">
        <v>656</v>
      </c>
      <c r="N519" s="167"/>
      <c r="O519" s="166" t="n">
        <v>0</v>
      </c>
      <c r="P519" s="168" t="str">
        <f aca="false">IF(N519="","",N519+CHOOSE(MIN(O519,3)+1,3,7,21,45))</f>
        <v/>
      </c>
      <c r="Q519" s="166"/>
      <c r="R519" s="169"/>
    </row>
    <row r="520" customFormat="false" ht="15" hidden="false" customHeight="false" outlineLevel="0" collapsed="false">
      <c r="A520" s="23" t="n">
        <v>519</v>
      </c>
      <c r="B520" s="23" t="s">
        <v>50</v>
      </c>
      <c r="C520" s="46" t="s">
        <v>51</v>
      </c>
      <c r="D520" s="149" t="s">
        <v>603</v>
      </c>
      <c r="E520" s="149" t="s">
        <v>604</v>
      </c>
      <c r="F520" s="23" t="n">
        <v>149</v>
      </c>
      <c r="G520" s="161" t="s">
        <v>1690</v>
      </c>
      <c r="H520" s="175" t="s">
        <v>11</v>
      </c>
      <c r="I520" s="171" t="s">
        <v>653</v>
      </c>
      <c r="J520" s="172" t="s">
        <v>654</v>
      </c>
      <c r="K520" s="23"/>
      <c r="L520" s="165" t="s">
        <v>1691</v>
      </c>
      <c r="M520" s="166" t="s">
        <v>656</v>
      </c>
      <c r="N520" s="167"/>
      <c r="O520" s="166" t="n">
        <v>0</v>
      </c>
      <c r="P520" s="168" t="str">
        <f aca="false">IF(N520="","",N520+CHOOSE(MIN(O520,3)+1,3,7,21,45))</f>
        <v/>
      </c>
      <c r="Q520" s="166"/>
      <c r="R520" s="169"/>
    </row>
    <row r="521" customFormat="false" ht="23.85" hidden="false" customHeight="false" outlineLevel="0" collapsed="false">
      <c r="A521" s="23" t="n">
        <v>520</v>
      </c>
      <c r="B521" s="23" t="s">
        <v>53</v>
      </c>
      <c r="C521" s="47" t="s">
        <v>52</v>
      </c>
      <c r="D521" s="154" t="s">
        <v>608</v>
      </c>
      <c r="E521" s="154" t="s">
        <v>609</v>
      </c>
      <c r="F521" s="23" t="n">
        <v>146</v>
      </c>
      <c r="G521" s="161" t="s">
        <v>1692</v>
      </c>
      <c r="H521" s="170" t="s">
        <v>9</v>
      </c>
      <c r="I521" s="173" t="s">
        <v>668</v>
      </c>
      <c r="J521" s="174" t="s">
        <v>669</v>
      </c>
      <c r="K521" s="23"/>
      <c r="L521" s="165" t="s">
        <v>1693</v>
      </c>
      <c r="M521" s="166" t="s">
        <v>656</v>
      </c>
      <c r="N521" s="167"/>
      <c r="O521" s="166" t="n">
        <v>0</v>
      </c>
      <c r="P521" s="168" t="str">
        <f aca="false">IF(N521="","",N521+CHOOSE(MIN(O521,3)+1,3,7,21,45))</f>
        <v/>
      </c>
      <c r="Q521" s="166"/>
      <c r="R521" s="169"/>
    </row>
    <row r="522" customFormat="false" ht="23.85" hidden="false" customHeight="false" outlineLevel="0" collapsed="false">
      <c r="A522" s="23" t="n">
        <v>521</v>
      </c>
      <c r="B522" s="23" t="s">
        <v>53</v>
      </c>
      <c r="C522" s="47" t="s">
        <v>52</v>
      </c>
      <c r="D522" s="154" t="s">
        <v>608</v>
      </c>
      <c r="E522" s="154" t="s">
        <v>609</v>
      </c>
      <c r="F522" s="23" t="n">
        <v>460</v>
      </c>
      <c r="G522" s="161" t="s">
        <v>1694</v>
      </c>
      <c r="H522" s="175" t="s">
        <v>11</v>
      </c>
      <c r="I522" s="176" t="s">
        <v>15</v>
      </c>
      <c r="J522" s="174" t="s">
        <v>669</v>
      </c>
      <c r="K522" s="23"/>
      <c r="L522" s="165" t="s">
        <v>1695</v>
      </c>
      <c r="M522" s="166" t="s">
        <v>656</v>
      </c>
      <c r="N522" s="167"/>
      <c r="O522" s="166" t="n">
        <v>0</v>
      </c>
      <c r="P522" s="168" t="str">
        <f aca="false">IF(N522="","",N522+CHOOSE(MIN(O522,3)+1,3,7,21,45))</f>
        <v/>
      </c>
      <c r="Q522" s="166"/>
      <c r="R522" s="169"/>
    </row>
    <row r="523" customFormat="false" ht="23.85" hidden="false" customHeight="false" outlineLevel="0" collapsed="false">
      <c r="A523" s="23" t="n">
        <v>522</v>
      </c>
      <c r="B523" s="23" t="s">
        <v>53</v>
      </c>
      <c r="C523" s="47" t="s">
        <v>52</v>
      </c>
      <c r="D523" s="154" t="s">
        <v>608</v>
      </c>
      <c r="E523" s="154" t="s">
        <v>612</v>
      </c>
      <c r="F523" s="23" t="n">
        <v>705</v>
      </c>
      <c r="G523" s="161" t="s">
        <v>1696</v>
      </c>
      <c r="H523" s="162" t="s">
        <v>7</v>
      </c>
      <c r="I523" s="171" t="s">
        <v>653</v>
      </c>
      <c r="J523" s="172" t="s">
        <v>654</v>
      </c>
      <c r="K523" s="23"/>
      <c r="L523" s="165" t="s">
        <v>1697</v>
      </c>
      <c r="M523" s="166" t="s">
        <v>656</v>
      </c>
      <c r="N523" s="167"/>
      <c r="O523" s="166" t="n">
        <v>0</v>
      </c>
      <c r="P523" s="168" t="str">
        <f aca="false">IF(N523="","",N523+CHOOSE(MIN(O523,3)+1,3,7,21,45))</f>
        <v/>
      </c>
      <c r="Q523" s="166"/>
      <c r="R523" s="169"/>
    </row>
    <row r="524" customFormat="false" ht="23.85" hidden="false" customHeight="false" outlineLevel="0" collapsed="false">
      <c r="A524" s="23" t="n">
        <v>523</v>
      </c>
      <c r="B524" s="23" t="s">
        <v>53</v>
      </c>
      <c r="C524" s="47" t="s">
        <v>52</v>
      </c>
      <c r="D524" s="154" t="s">
        <v>608</v>
      </c>
      <c r="E524" s="154" t="s">
        <v>612</v>
      </c>
      <c r="F524" s="23" t="n">
        <v>706</v>
      </c>
      <c r="G524" s="161" t="s">
        <v>1698</v>
      </c>
      <c r="H524" s="162" t="s">
        <v>7</v>
      </c>
      <c r="I524" s="171" t="s">
        <v>653</v>
      </c>
      <c r="J524" s="172" t="s">
        <v>654</v>
      </c>
      <c r="K524" s="23"/>
      <c r="L524" s="165" t="s">
        <v>1699</v>
      </c>
      <c r="M524" s="166" t="s">
        <v>656</v>
      </c>
      <c r="N524" s="167"/>
      <c r="O524" s="166" t="n">
        <v>0</v>
      </c>
      <c r="P524" s="168" t="str">
        <f aca="false">IF(N524="","",N524+CHOOSE(MIN(O524,3)+1,3,7,21,45))</f>
        <v/>
      </c>
      <c r="Q524" s="166"/>
      <c r="R524" s="169"/>
    </row>
    <row r="525" customFormat="false" ht="23.85" hidden="false" customHeight="false" outlineLevel="0" collapsed="false">
      <c r="A525" s="23" t="n">
        <v>524</v>
      </c>
      <c r="B525" s="23" t="s">
        <v>53</v>
      </c>
      <c r="C525" s="47" t="s">
        <v>52</v>
      </c>
      <c r="D525" s="154" t="s">
        <v>608</v>
      </c>
      <c r="E525" s="154" t="s">
        <v>612</v>
      </c>
      <c r="F525" s="23" t="n">
        <v>380</v>
      </c>
      <c r="G525" s="161" t="s">
        <v>1700</v>
      </c>
      <c r="H525" s="170" t="s">
        <v>9</v>
      </c>
      <c r="I525" s="176" t="s">
        <v>15</v>
      </c>
      <c r="J525" s="174" t="s">
        <v>669</v>
      </c>
      <c r="K525" s="23"/>
      <c r="L525" s="165" t="s">
        <v>1701</v>
      </c>
      <c r="M525" s="166" t="s">
        <v>656</v>
      </c>
      <c r="N525" s="167"/>
      <c r="O525" s="166" t="n">
        <v>0</v>
      </c>
      <c r="P525" s="168" t="str">
        <f aca="false">IF(N525="","",N525+CHOOSE(MIN(O525,3)+1,3,7,21,45))</f>
        <v/>
      </c>
      <c r="Q525" s="166"/>
      <c r="R525" s="169"/>
    </row>
    <row r="526" customFormat="false" ht="23.85" hidden="false" customHeight="false" outlineLevel="0" collapsed="false">
      <c r="A526" s="23" t="n">
        <v>525</v>
      </c>
      <c r="B526" s="23" t="s">
        <v>53</v>
      </c>
      <c r="C526" s="47" t="s">
        <v>52</v>
      </c>
      <c r="D526" s="154" t="s">
        <v>608</v>
      </c>
      <c r="E526" s="154" t="s">
        <v>612</v>
      </c>
      <c r="F526" s="23" t="n">
        <v>432</v>
      </c>
      <c r="G526" s="161" t="s">
        <v>1702</v>
      </c>
      <c r="H526" s="175" t="s">
        <v>11</v>
      </c>
      <c r="I526" s="171" t="s">
        <v>653</v>
      </c>
      <c r="J526" s="172" t="s">
        <v>654</v>
      </c>
      <c r="K526" s="23"/>
      <c r="L526" s="165" t="s">
        <v>1703</v>
      </c>
      <c r="M526" s="166" t="s">
        <v>656</v>
      </c>
      <c r="N526" s="167"/>
      <c r="O526" s="166" t="n">
        <v>0</v>
      </c>
      <c r="P526" s="168" t="str">
        <f aca="false">IF(N526="","",N526+CHOOSE(MIN(O526,3)+1,3,7,21,45))</f>
        <v/>
      </c>
      <c r="Q526" s="166"/>
      <c r="R526" s="169"/>
    </row>
    <row r="527" customFormat="false" ht="23.85" hidden="false" customHeight="false" outlineLevel="0" collapsed="false">
      <c r="A527" s="23" t="n">
        <v>526</v>
      </c>
      <c r="B527" s="23" t="s">
        <v>53</v>
      </c>
      <c r="C527" s="47" t="s">
        <v>52</v>
      </c>
      <c r="D527" s="154" t="s">
        <v>608</v>
      </c>
      <c r="E527" s="154" t="s">
        <v>616</v>
      </c>
      <c r="F527" s="23" t="n">
        <v>355</v>
      </c>
      <c r="G527" s="161" t="s">
        <v>1704</v>
      </c>
      <c r="H527" s="170" t="s">
        <v>9</v>
      </c>
      <c r="I527" s="173" t="s">
        <v>668</v>
      </c>
      <c r="J527" s="174" t="s">
        <v>669</v>
      </c>
      <c r="K527" s="23"/>
      <c r="L527" s="165" t="s">
        <v>1705</v>
      </c>
      <c r="M527" s="166" t="s">
        <v>656</v>
      </c>
      <c r="N527" s="167"/>
      <c r="O527" s="166" t="n">
        <v>0</v>
      </c>
      <c r="P527" s="168" t="str">
        <f aca="false">IF(N527="","",N527+CHOOSE(MIN(O527,3)+1,3,7,21,45))</f>
        <v/>
      </c>
      <c r="Q527" s="166"/>
      <c r="R527" s="169"/>
    </row>
    <row r="528" customFormat="false" ht="23.85" hidden="false" customHeight="false" outlineLevel="0" collapsed="false">
      <c r="A528" s="23" t="n">
        <v>527</v>
      </c>
      <c r="B528" s="23" t="s">
        <v>53</v>
      </c>
      <c r="C528" s="47" t="s">
        <v>52</v>
      </c>
      <c r="D528" s="154" t="s">
        <v>608</v>
      </c>
      <c r="E528" s="154" t="s">
        <v>616</v>
      </c>
      <c r="F528" s="23" t="n">
        <v>1396</v>
      </c>
      <c r="G528" s="161" t="s">
        <v>1706</v>
      </c>
      <c r="H528" s="170" t="s">
        <v>9</v>
      </c>
      <c r="I528" s="171" t="s">
        <v>653</v>
      </c>
      <c r="J528" s="172" t="s">
        <v>654</v>
      </c>
      <c r="K528" s="23"/>
      <c r="L528" s="165" t="s">
        <v>1707</v>
      </c>
      <c r="M528" s="166" t="s">
        <v>656</v>
      </c>
      <c r="N528" s="167"/>
      <c r="O528" s="166" t="n">
        <v>0</v>
      </c>
      <c r="P528" s="168" t="str">
        <f aca="false">IF(N528="","",N528+CHOOSE(MIN(O528,3)+1,3,7,21,45))</f>
        <v/>
      </c>
      <c r="Q528" s="166"/>
      <c r="R528" s="169"/>
    </row>
    <row r="529" customFormat="false" ht="23.85" hidden="false" customHeight="false" outlineLevel="0" collapsed="false">
      <c r="A529" s="23" t="n">
        <v>528</v>
      </c>
      <c r="B529" s="23" t="s">
        <v>53</v>
      </c>
      <c r="C529" s="47" t="s">
        <v>52</v>
      </c>
      <c r="D529" s="154" t="s">
        <v>608</v>
      </c>
      <c r="E529" s="154" t="s">
        <v>616</v>
      </c>
      <c r="F529" s="23" t="n">
        <v>2353</v>
      </c>
      <c r="G529" s="161" t="s">
        <v>1708</v>
      </c>
      <c r="H529" s="170" t="s">
        <v>9</v>
      </c>
      <c r="I529" s="171" t="s">
        <v>653</v>
      </c>
      <c r="J529" s="172" t="s">
        <v>654</v>
      </c>
      <c r="K529" s="23"/>
      <c r="L529" s="165" t="s">
        <v>1709</v>
      </c>
      <c r="M529" s="166" t="s">
        <v>656</v>
      </c>
      <c r="N529" s="167"/>
      <c r="O529" s="166" t="n">
        <v>0</v>
      </c>
      <c r="P529" s="168" t="str">
        <f aca="false">IF(N529="","",N529+CHOOSE(MIN(O529,3)+1,3,7,21,45))</f>
        <v/>
      </c>
      <c r="Q529" s="166"/>
      <c r="R529" s="169"/>
    </row>
    <row r="530" customFormat="false" ht="23.85" hidden="false" customHeight="false" outlineLevel="0" collapsed="false">
      <c r="A530" s="23" t="n">
        <v>529</v>
      </c>
      <c r="B530" s="23" t="s">
        <v>53</v>
      </c>
      <c r="C530" s="47" t="s">
        <v>52</v>
      </c>
      <c r="D530" s="154" t="s">
        <v>608</v>
      </c>
      <c r="E530" s="154" t="s">
        <v>616</v>
      </c>
      <c r="F530" s="23" t="n">
        <v>1352</v>
      </c>
      <c r="G530" s="161" t="s">
        <v>1710</v>
      </c>
      <c r="H530" s="170" t="s">
        <v>9</v>
      </c>
      <c r="I530" s="171" t="s">
        <v>653</v>
      </c>
      <c r="J530" s="172" t="s">
        <v>654</v>
      </c>
      <c r="K530" s="23"/>
      <c r="L530" s="165" t="s">
        <v>1711</v>
      </c>
      <c r="M530" s="166" t="s">
        <v>656</v>
      </c>
      <c r="N530" s="167"/>
      <c r="O530" s="166" t="n">
        <v>0</v>
      </c>
      <c r="P530" s="168" t="str">
        <f aca="false">IF(N530="","",N530+CHOOSE(MIN(O530,3)+1,3,7,21,45))</f>
        <v/>
      </c>
      <c r="Q530" s="166"/>
      <c r="R530" s="169"/>
    </row>
    <row r="531" customFormat="false" ht="23.85" hidden="false" customHeight="false" outlineLevel="0" collapsed="false">
      <c r="A531" s="23" t="n">
        <v>530</v>
      </c>
      <c r="B531" s="23" t="s">
        <v>53</v>
      </c>
      <c r="C531" s="47" t="s">
        <v>52</v>
      </c>
      <c r="D531" s="154" t="s">
        <v>608</v>
      </c>
      <c r="E531" s="154" t="s">
        <v>616</v>
      </c>
      <c r="F531" s="23" t="n">
        <v>362</v>
      </c>
      <c r="G531" s="161" t="s">
        <v>1712</v>
      </c>
      <c r="H531" s="170" t="s">
        <v>9</v>
      </c>
      <c r="I531" s="171" t="s">
        <v>653</v>
      </c>
      <c r="J531" s="172" t="s">
        <v>654</v>
      </c>
      <c r="K531" s="23" t="s">
        <v>672</v>
      </c>
      <c r="L531" s="165" t="s">
        <v>1713</v>
      </c>
      <c r="M531" s="166" t="s">
        <v>656</v>
      </c>
      <c r="N531" s="167"/>
      <c r="O531" s="166" t="n">
        <v>0</v>
      </c>
      <c r="P531" s="168" t="str">
        <f aca="false">IF(N531="","",N531+CHOOSE(MIN(O531,3)+1,3,7,21,45))</f>
        <v/>
      </c>
      <c r="Q531" s="166"/>
      <c r="R531" s="169"/>
    </row>
    <row r="532" customFormat="false" ht="23.85" hidden="false" customHeight="false" outlineLevel="0" collapsed="false">
      <c r="A532" s="23" t="n">
        <v>531</v>
      </c>
      <c r="B532" s="23" t="s">
        <v>53</v>
      </c>
      <c r="C532" s="47" t="s">
        <v>52</v>
      </c>
      <c r="D532" s="154" t="s">
        <v>608</v>
      </c>
      <c r="E532" s="154" t="s">
        <v>619</v>
      </c>
      <c r="F532" s="23" t="n">
        <v>284</v>
      </c>
      <c r="G532" s="161" t="s">
        <v>1714</v>
      </c>
      <c r="H532" s="170" t="s">
        <v>9</v>
      </c>
      <c r="I532" s="171" t="s">
        <v>653</v>
      </c>
      <c r="J532" s="172" t="s">
        <v>654</v>
      </c>
      <c r="K532" s="23"/>
      <c r="L532" s="165" t="s">
        <v>1715</v>
      </c>
      <c r="M532" s="166" t="s">
        <v>656</v>
      </c>
      <c r="N532" s="167"/>
      <c r="O532" s="166" t="n">
        <v>0</v>
      </c>
      <c r="P532" s="168" t="str">
        <f aca="false">IF(N532="","",N532+CHOOSE(MIN(O532,3)+1,3,7,21,45))</f>
        <v/>
      </c>
      <c r="Q532" s="166"/>
      <c r="R532" s="169"/>
    </row>
    <row r="533" customFormat="false" ht="23.85" hidden="false" customHeight="false" outlineLevel="0" collapsed="false">
      <c r="A533" s="23" t="n">
        <v>532</v>
      </c>
      <c r="B533" s="23" t="s">
        <v>53</v>
      </c>
      <c r="C533" s="47" t="s">
        <v>52</v>
      </c>
      <c r="D533" s="154" t="s">
        <v>608</v>
      </c>
      <c r="E533" s="154" t="s">
        <v>619</v>
      </c>
      <c r="F533" s="23" t="n">
        <v>341</v>
      </c>
      <c r="G533" s="161" t="s">
        <v>1716</v>
      </c>
      <c r="H533" s="170" t="s">
        <v>9</v>
      </c>
      <c r="I533" s="176" t="s">
        <v>15</v>
      </c>
      <c r="J533" s="174" t="s">
        <v>669</v>
      </c>
      <c r="K533" s="23"/>
      <c r="L533" s="165" t="s">
        <v>1717</v>
      </c>
      <c r="M533" s="166" t="s">
        <v>656</v>
      </c>
      <c r="N533" s="167"/>
      <c r="O533" s="166" t="n">
        <v>0</v>
      </c>
      <c r="P533" s="168" t="str">
        <f aca="false">IF(N533="","",N533+CHOOSE(MIN(O533,3)+1,3,7,21,45))</f>
        <v/>
      </c>
      <c r="Q533" s="166"/>
      <c r="R533" s="169"/>
    </row>
    <row r="534" customFormat="false" ht="23.85" hidden="false" customHeight="false" outlineLevel="0" collapsed="false">
      <c r="A534" s="23" t="n">
        <v>533</v>
      </c>
      <c r="B534" s="23" t="s">
        <v>53</v>
      </c>
      <c r="C534" s="47" t="s">
        <v>52</v>
      </c>
      <c r="D534" s="154" t="s">
        <v>608</v>
      </c>
      <c r="E534" s="154" t="s">
        <v>619</v>
      </c>
      <c r="F534" s="23" t="n">
        <v>1206</v>
      </c>
      <c r="G534" s="161" t="s">
        <v>1718</v>
      </c>
      <c r="H534" s="175" t="s">
        <v>11</v>
      </c>
      <c r="I534" s="171" t="s">
        <v>653</v>
      </c>
      <c r="J534" s="172" t="s">
        <v>654</v>
      </c>
      <c r="K534" s="23"/>
      <c r="L534" s="165" t="s">
        <v>1719</v>
      </c>
      <c r="M534" s="166" t="s">
        <v>656</v>
      </c>
      <c r="N534" s="167"/>
      <c r="O534" s="166" t="n">
        <v>0</v>
      </c>
      <c r="P534" s="168" t="str">
        <f aca="false">IF(N534="","",N534+CHOOSE(MIN(O534,3)+1,3,7,21,45))</f>
        <v/>
      </c>
      <c r="Q534" s="166"/>
      <c r="R534" s="169"/>
    </row>
    <row r="535" customFormat="false" ht="23.85" hidden="false" customHeight="false" outlineLevel="0" collapsed="false">
      <c r="A535" s="23" t="n">
        <v>534</v>
      </c>
      <c r="B535" s="23" t="s">
        <v>53</v>
      </c>
      <c r="C535" s="48" t="s">
        <v>54</v>
      </c>
      <c r="D535" s="159" t="s">
        <v>624</v>
      </c>
      <c r="E535" s="159" t="s">
        <v>625</v>
      </c>
      <c r="F535" s="23" t="n">
        <v>307</v>
      </c>
      <c r="G535" s="161" t="s">
        <v>1720</v>
      </c>
      <c r="H535" s="170" t="s">
        <v>9</v>
      </c>
      <c r="I535" s="176" t="s">
        <v>15</v>
      </c>
      <c r="J535" s="174" t="s">
        <v>669</v>
      </c>
      <c r="K535" s="23"/>
      <c r="L535" s="165" t="s">
        <v>1721</v>
      </c>
      <c r="M535" s="166" t="s">
        <v>656</v>
      </c>
      <c r="N535" s="167"/>
      <c r="O535" s="166" t="n">
        <v>0</v>
      </c>
      <c r="P535" s="168" t="str">
        <f aca="false">IF(N535="","",N535+CHOOSE(MIN(O535,3)+1,3,7,21,45))</f>
        <v/>
      </c>
      <c r="Q535" s="166"/>
      <c r="R535" s="169"/>
    </row>
    <row r="536" customFormat="false" ht="23.85" hidden="false" customHeight="false" outlineLevel="0" collapsed="false">
      <c r="A536" s="23" t="n">
        <v>535</v>
      </c>
      <c r="B536" s="23" t="s">
        <v>53</v>
      </c>
      <c r="C536" s="48" t="s">
        <v>54</v>
      </c>
      <c r="D536" s="159" t="s">
        <v>624</v>
      </c>
      <c r="E536" s="159" t="s">
        <v>625</v>
      </c>
      <c r="F536" s="23" t="n">
        <v>699</v>
      </c>
      <c r="G536" s="161" t="s">
        <v>1722</v>
      </c>
      <c r="H536" s="175" t="s">
        <v>11</v>
      </c>
      <c r="I536" s="171" t="s">
        <v>653</v>
      </c>
      <c r="J536" s="172" t="s">
        <v>654</v>
      </c>
      <c r="K536" s="23"/>
      <c r="L536" s="165" t="s">
        <v>1723</v>
      </c>
      <c r="M536" s="166" t="s">
        <v>656</v>
      </c>
      <c r="N536" s="167"/>
      <c r="O536" s="166" t="n">
        <v>0</v>
      </c>
      <c r="P536" s="168" t="str">
        <f aca="false">IF(N536="","",N536+CHOOSE(MIN(O536,3)+1,3,7,21,45))</f>
        <v/>
      </c>
      <c r="Q536" s="166"/>
      <c r="R536" s="169"/>
    </row>
    <row r="537" customFormat="false" ht="23.85" hidden="false" customHeight="false" outlineLevel="0" collapsed="false">
      <c r="A537" s="23" t="n">
        <v>536</v>
      </c>
      <c r="B537" s="23" t="s">
        <v>53</v>
      </c>
      <c r="C537" s="48" t="s">
        <v>54</v>
      </c>
      <c r="D537" s="159" t="s">
        <v>624</v>
      </c>
      <c r="E537" s="159" t="s">
        <v>625</v>
      </c>
      <c r="F537" s="23" t="n">
        <v>715</v>
      </c>
      <c r="G537" s="161" t="s">
        <v>1724</v>
      </c>
      <c r="H537" s="175" t="s">
        <v>11</v>
      </c>
      <c r="I537" s="171" t="s">
        <v>653</v>
      </c>
      <c r="J537" s="172" t="s">
        <v>654</v>
      </c>
      <c r="K537" s="23"/>
      <c r="L537" s="165" t="s">
        <v>1725</v>
      </c>
      <c r="M537" s="166" t="s">
        <v>656</v>
      </c>
      <c r="N537" s="167"/>
      <c r="O537" s="166" t="n">
        <v>0</v>
      </c>
      <c r="P537" s="168" t="str">
        <f aca="false">IF(N537="","",N537+CHOOSE(MIN(O537,3)+1,3,7,21,45))</f>
        <v/>
      </c>
      <c r="Q537" s="166"/>
      <c r="R537" s="169"/>
    </row>
    <row r="538" customFormat="false" ht="23.85" hidden="false" customHeight="false" outlineLevel="0" collapsed="false">
      <c r="A538" s="23" t="n">
        <v>537</v>
      </c>
      <c r="B538" s="23" t="s">
        <v>53</v>
      </c>
      <c r="C538" s="48" t="s">
        <v>54</v>
      </c>
      <c r="D538" s="159" t="s">
        <v>624</v>
      </c>
      <c r="E538" s="159" t="s">
        <v>628</v>
      </c>
      <c r="F538" s="23" t="n">
        <v>1649</v>
      </c>
      <c r="G538" s="161" t="s">
        <v>1726</v>
      </c>
      <c r="H538" s="175" t="s">
        <v>11</v>
      </c>
      <c r="I538" s="171" t="s">
        <v>653</v>
      </c>
      <c r="J538" s="172" t="s">
        <v>654</v>
      </c>
      <c r="K538" s="23"/>
      <c r="L538" s="165" t="s">
        <v>1727</v>
      </c>
      <c r="M538" s="166" t="s">
        <v>656</v>
      </c>
      <c r="N538" s="167"/>
      <c r="O538" s="166" t="n">
        <v>0</v>
      </c>
      <c r="P538" s="168" t="str">
        <f aca="false">IF(N538="","",N538+CHOOSE(MIN(O538,3)+1,3,7,21,45))</f>
        <v/>
      </c>
      <c r="Q538" s="166"/>
      <c r="R538" s="169"/>
    </row>
    <row r="539" customFormat="false" ht="23.85" hidden="false" customHeight="false" outlineLevel="0" collapsed="false">
      <c r="A539" s="23" t="n">
        <v>538</v>
      </c>
      <c r="B539" s="23" t="s">
        <v>53</v>
      </c>
      <c r="C539" s="48" t="s">
        <v>54</v>
      </c>
      <c r="D539" s="159" t="s">
        <v>624</v>
      </c>
      <c r="E539" s="159" t="s">
        <v>628</v>
      </c>
      <c r="F539" s="23" t="n">
        <v>327</v>
      </c>
      <c r="G539" s="161" t="s">
        <v>1728</v>
      </c>
      <c r="H539" s="175" t="s">
        <v>11</v>
      </c>
      <c r="I539" s="171" t="s">
        <v>653</v>
      </c>
      <c r="J539" s="172" t="s">
        <v>654</v>
      </c>
      <c r="K539" s="23"/>
      <c r="L539" s="165" t="s">
        <v>1729</v>
      </c>
      <c r="M539" s="166" t="s">
        <v>656</v>
      </c>
      <c r="N539" s="167"/>
      <c r="O539" s="166" t="n">
        <v>0</v>
      </c>
      <c r="P539" s="168" t="str">
        <f aca="false">IF(N539="","",N539+CHOOSE(MIN(O539,3)+1,3,7,21,45))</f>
        <v/>
      </c>
      <c r="Q539" s="166"/>
      <c r="R539" s="169"/>
    </row>
    <row r="540" customFormat="false" ht="23.85" hidden="false" customHeight="false" outlineLevel="0" collapsed="false">
      <c r="A540" s="23" t="n">
        <v>539</v>
      </c>
      <c r="B540" s="23" t="s">
        <v>53</v>
      </c>
      <c r="C540" s="48" t="s">
        <v>54</v>
      </c>
      <c r="D540" s="159" t="s">
        <v>624</v>
      </c>
      <c r="E540" s="159" t="s">
        <v>631</v>
      </c>
      <c r="F540" s="23" t="n">
        <v>2034</v>
      </c>
      <c r="G540" s="161" t="s">
        <v>1730</v>
      </c>
      <c r="H540" s="170" t="s">
        <v>9</v>
      </c>
      <c r="I540" s="171" t="s">
        <v>653</v>
      </c>
      <c r="J540" s="172" t="s">
        <v>654</v>
      </c>
      <c r="K540" s="23"/>
      <c r="L540" s="165" t="s">
        <v>1731</v>
      </c>
      <c r="M540" s="166" t="s">
        <v>656</v>
      </c>
      <c r="N540" s="167"/>
      <c r="O540" s="166" t="n">
        <v>0</v>
      </c>
      <c r="P540" s="168" t="str">
        <f aca="false">IF(N540="","",N540+CHOOSE(MIN(O540,3)+1,3,7,21,45))</f>
        <v/>
      </c>
      <c r="Q540" s="166"/>
      <c r="R540" s="169"/>
    </row>
    <row r="541" customFormat="false" ht="23.85" hidden="false" customHeight="false" outlineLevel="0" collapsed="false">
      <c r="A541" s="23" t="n">
        <v>540</v>
      </c>
      <c r="B541" s="23" t="s">
        <v>53</v>
      </c>
      <c r="C541" s="48" t="s">
        <v>54</v>
      </c>
      <c r="D541" s="159" t="s">
        <v>624</v>
      </c>
      <c r="E541" s="159" t="s">
        <v>631</v>
      </c>
      <c r="F541" s="23" t="n">
        <v>352</v>
      </c>
      <c r="G541" s="161" t="s">
        <v>1732</v>
      </c>
      <c r="H541" s="175" t="s">
        <v>11</v>
      </c>
      <c r="I541" s="171" t="s">
        <v>653</v>
      </c>
      <c r="J541" s="172" t="s">
        <v>654</v>
      </c>
      <c r="K541" s="23"/>
      <c r="L541" s="165" t="s">
        <v>1733</v>
      </c>
      <c r="M541" s="166" t="s">
        <v>656</v>
      </c>
      <c r="N541" s="167"/>
      <c r="O541" s="166" t="n">
        <v>0</v>
      </c>
      <c r="P541" s="168" t="str">
        <f aca="false">IF(N541="","",N541+CHOOSE(MIN(O541,3)+1,3,7,21,45))</f>
        <v/>
      </c>
      <c r="Q541" s="166"/>
      <c r="R541" s="169"/>
    </row>
  </sheetData>
  <autoFilter ref="A1:R541"/>
  <conditionalFormatting sqref="M2:M541">
    <cfRule type="cellIs" priority="2" operator="equal" aboveAverage="0" equalAverage="0" bottom="0" percent="0" rank="0" text="" dxfId="66">
      <formula>"Solved"</formula>
    </cfRule>
    <cfRule type="cellIs" priority="3" operator="equal" aboveAverage="0" equalAverage="0" bottom="0" percent="0" rank="0" text="" dxfId="67">
      <formula>"Mastered"</formula>
    </cfRule>
    <cfRule type="cellIs" priority="4" operator="equal" aboveAverage="0" equalAverage="0" bottom="0" percent="0" rank="0" text="" dxfId="68">
      <formula>"In Progress"</formula>
    </cfRule>
    <cfRule type="cellIs" priority="5" operator="equal" aboveAverage="0" equalAverage="0" bottom="0" percent="0" rank="0" text="" dxfId="69">
      <formula>"Revise"</formula>
    </cfRule>
  </conditionalFormatting>
  <conditionalFormatting sqref="P2:P541">
    <cfRule type="expression" priority="6" aboveAverage="0" equalAverage="0" bottom="0" percent="0" rank="0" text="" dxfId="70">
      <formula>AND(P2&lt;&gt;"",P2&lt;=TODAY(),M2&lt;&gt;"Mastered")</formula>
    </cfRule>
  </conditionalFormatting>
  <conditionalFormatting sqref="Q2:Q541">
    <cfRule type="cellIs" priority="7" operator="lessThanOrEqual" aboveAverage="0" equalAverage="0" bottom="0" percent="0" rank="0" text="" dxfId="71">
      <formula>2</formula>
    </cfRule>
    <cfRule type="cellIs" priority="8" operator="greaterThanOrEqual" aboveAverage="0" equalAverage="0" bottom="0" percent="0" rank="0" text="" dxfId="72">
      <formula>4</formula>
    </cfRule>
  </conditionalFormatting>
  <conditionalFormatting sqref="G2:G541">
    <cfRule type="expression" priority="9" aboveAverage="0" equalAverage="0" bottom="0" percent="0" rank="0" text="" dxfId="73">
      <formula>$M2="Mastered"</formula>
    </cfRule>
  </conditionalFormatting>
  <dataValidations count="4">
    <dataValidation allowBlank="false" errorStyle="stop" operator="between" showDropDown="false" showErrorMessage="false" showInputMessage="false" sqref="M2:M541" type="list">
      <formula1>"Not Started,In Progress,Solved,Revise,Mastered"</formula1>
      <formula2>0</formula2>
    </dataValidation>
    <dataValidation allowBlank="true" errorStyle="stop" operator="between" showDropDown="false" showErrorMessage="false" showInputMessage="false" sqref="Q2:Q541" type="list">
      <formula1>"1,2,3,4,5"</formula1>
      <formula2>0</formula2>
    </dataValidation>
    <dataValidation allowBlank="false" errorStyle="stop" operator="between" showDropDown="false" showErrorMessage="false" showInputMessage="false" sqref="O2:O541" type="whole">
      <formula1>0</formula1>
      <formula2>50</formula2>
    </dataValidation>
    <dataValidation allowBlank="false" errorStyle="stop" operator="greaterThan" showDropDown="false" showErrorMessage="false" showInputMessage="false" sqref="N2:N541" type="date">
      <formula1>36526</formula1>
      <formula2>0</formula2>
    </dataValidation>
  </dataValidations>
  <hyperlinks>
    <hyperlink ref="G2" r:id="rId1" display="Two Sum"/>
    <hyperlink ref="L2" r:id="rId2" display="https://leetcode.com/problems/two-sum/"/>
    <hyperlink ref="G3" r:id="rId3" display="Max Number of K-Sum Pairs"/>
    <hyperlink ref="L3" r:id="rId4" display="https://leetcode.com/problems/max-number-of-k-sum-pairs/"/>
    <hyperlink ref="G4" r:id="rId5" display="4Sum II"/>
    <hyperlink ref="L4" r:id="rId6" display="https://leetcode.com/problems/4sum-ii/"/>
    <hyperlink ref="G5" r:id="rId7" display="Contains Duplicate"/>
    <hyperlink ref="L5" r:id="rId8" display="https://leetcode.com/problems/contains-duplicate/"/>
    <hyperlink ref="G6" r:id="rId9" display="Contains Duplicate II"/>
    <hyperlink ref="L6" r:id="rId10" display="https://leetcode.com/problems/contains-duplicate-ii/"/>
    <hyperlink ref="G7" r:id="rId11" display="Unique Number of Occurrences"/>
    <hyperlink ref="L7" r:id="rId12" display="https://leetcode.com/problems/unique-number-of-occurrences/"/>
    <hyperlink ref="G8" r:id="rId13" display="Equal Row and Column Pairs"/>
    <hyperlink ref="L8" r:id="rId14" display="https://leetcode.com/problems/equal-row-and-column-pairs/"/>
    <hyperlink ref="G9" r:id="rId15" display="Valid Sudoku"/>
    <hyperlink ref="L9" r:id="rId16" display="https://leetcode.com/problems/valid-sudoku/"/>
    <hyperlink ref="G10" r:id="rId17" display="Group Shifted Strings"/>
    <hyperlink ref="L10" r:id="rId18" display="https://leetcode.com/problems/group-shifted-strings/"/>
    <hyperlink ref="G11" r:id="rId19" display="Find Duplicate File in System"/>
    <hyperlink ref="L11" r:id="rId20" display="https://leetcode.com/problems/find-duplicate-file-in-system/"/>
    <hyperlink ref="G12" r:id="rId21" display="Intersection of Two Arrays"/>
    <hyperlink ref="L12" r:id="rId22" display="https://leetcode.com/problems/intersection-of-two-arrays/"/>
    <hyperlink ref="G13" r:id="rId23" display="Happy Number"/>
    <hyperlink ref="L13" r:id="rId24" display="https://leetcode.com/problems/happy-number/"/>
    <hyperlink ref="G14" r:id="rId25" display="Longest Consecutive Sequence"/>
    <hyperlink ref="L14" r:id="rId26" display="https://leetcode.com/problems/longest-consecutive-sequence/"/>
    <hyperlink ref="G15" r:id="rId27" display="Valid Palindrome"/>
    <hyperlink ref="L15" r:id="rId28" display="https://leetcode.com/problems/valid-palindrome/"/>
    <hyperlink ref="G16" r:id="rId29" display="Squares of a Sorted Array"/>
    <hyperlink ref="L16" r:id="rId30" display="https://leetcode.com/problems/squares-of-a-sorted-array/"/>
    <hyperlink ref="G17" r:id="rId31" display="Two Sum II - Input Array Is Sorted"/>
    <hyperlink ref="L17" r:id="rId32" display="https://leetcode.com/problems/two-sum-ii-input-array-is-sorted/"/>
    <hyperlink ref="G18" r:id="rId33" display="Container With Most Water"/>
    <hyperlink ref="L18" r:id="rId34" display="https://leetcode.com/problems/container-with-most-water/"/>
    <hyperlink ref="G19" r:id="rId35" display="Boats to Save People"/>
    <hyperlink ref="L19" r:id="rId36" display="https://leetcode.com/problems/boats-to-save-people/"/>
    <hyperlink ref="G20" r:id="rId37" display="Trapping Rain Water"/>
    <hyperlink ref="L20" r:id="rId38" display="https://leetcode.com/problems/trapping-rain-water/"/>
    <hyperlink ref="G21" r:id="rId39" display="Remove Duplicates from Sorted Array"/>
    <hyperlink ref="L21" r:id="rId40" display="https://leetcode.com/problems/remove-duplicates-from-sorted-array/"/>
    <hyperlink ref="G22" r:id="rId41" display="Remove Element"/>
    <hyperlink ref="L22" r:id="rId42" display="https://leetcode.com/problems/remove-element/"/>
    <hyperlink ref="G23" r:id="rId43" display="Move Zeroes"/>
    <hyperlink ref="L23" r:id="rId44" display="https://leetcode.com/problems/move-zeroes/"/>
    <hyperlink ref="G24" r:id="rId45" display="Merge Sorted Array"/>
    <hyperlink ref="L24" r:id="rId46" display="https://leetcode.com/problems/merge-sorted-array/"/>
    <hyperlink ref="G25" r:id="rId47" display="Is Subsequence"/>
    <hyperlink ref="L25" r:id="rId48" display="https://leetcode.com/problems/is-subsequence/"/>
    <hyperlink ref="G26" r:id="rId49" display="Remove Duplicates from Sorted Array II"/>
    <hyperlink ref="L26" r:id="rId50" display="https://leetcode.com/problems/remove-duplicates-from-sorted-array-ii/"/>
    <hyperlink ref="G27" r:id="rId51" display="3Sum"/>
    <hyperlink ref="L27" r:id="rId52" display="https://leetcode.com/problems/3sum/"/>
    <hyperlink ref="G28" r:id="rId53" display="3Sum Closest"/>
    <hyperlink ref="L28" r:id="rId54" display="https://leetcode.com/problems/3sum-closest/"/>
    <hyperlink ref="G29" r:id="rId55" display="Valid Triangle Number"/>
    <hyperlink ref="L29" r:id="rId56" display="https://leetcode.com/problems/valid-triangle-number/"/>
    <hyperlink ref="G30" r:id="rId57" display="4Sum"/>
    <hyperlink ref="L30" r:id="rId58" display="https://leetcode.com/problems/4sum/"/>
    <hyperlink ref="G31" r:id="rId59" display="Sort Array By Parity"/>
    <hyperlink ref="L31" r:id="rId60" display="https://leetcode.com/problems/sort-array-by-parity/"/>
    <hyperlink ref="G32" r:id="rId61" display="Sort Colors"/>
    <hyperlink ref="L32" r:id="rId62" display="https://leetcode.com/problems/sort-colors/"/>
    <hyperlink ref="G33" r:id="rId63" display="Partition Array According to Given Pivot"/>
    <hyperlink ref="L33" r:id="rId64" display="https://leetcode.com/problems/partition-array-according-to-given-pivot/"/>
    <hyperlink ref="G34" r:id="rId65" display="Rotate Array"/>
    <hyperlink ref="L34" r:id="rId66" display="https://leetcode.com/problems/rotate-array/"/>
    <hyperlink ref="G35" r:id="rId67" display="Next Permutation"/>
    <hyperlink ref="L35" r:id="rId68" display="https://leetcode.com/problems/next-permutation/"/>
    <hyperlink ref="G36" r:id="rId69" display="Majority Element"/>
    <hyperlink ref="L36" r:id="rId70" display="https://leetcode.com/problems/majority-element/"/>
    <hyperlink ref="G37" r:id="rId71" display="Majority Element II"/>
    <hyperlink ref="L37" r:id="rId72" display="https://leetcode.com/problems/majority-element-ii/"/>
    <hyperlink ref="G38" r:id="rId73" display="Find All Numbers Disappeared in an Array"/>
    <hyperlink ref="L38" r:id="rId74" display="https://leetcode.com/problems/find-all-numbers-disappeared-in-an-array/"/>
    <hyperlink ref="G39" r:id="rId75" display="Find All Duplicates in an Array"/>
    <hyperlink ref="L39" r:id="rId76" display="https://leetcode.com/problems/find-all-duplicates-in-an-array/"/>
    <hyperlink ref="G40" r:id="rId77" display="Find the Duplicate Number"/>
    <hyperlink ref="L40" r:id="rId78" display="https://leetcode.com/problems/find-the-duplicate-number/"/>
    <hyperlink ref="G41" r:id="rId79" display="First Missing Positive"/>
    <hyperlink ref="L41" r:id="rId80" display="https://leetcode.com/problems/first-missing-positive/"/>
    <hyperlink ref="G42" r:id="rId81" display="Maximum Average Subarray I"/>
    <hyperlink ref="L42" r:id="rId82" display="https://leetcode.com/problems/maximum-average-subarray-i/"/>
    <hyperlink ref="G43" r:id="rId83" display="Maximum Number of Vowels in a Substring of Given Length"/>
    <hyperlink ref="L43" r:id="rId84" display="https://leetcode.com/problems/maximum-number-of-vowels-in-a-substring-of-given-length/"/>
    <hyperlink ref="G44" r:id="rId85" display="Permutation in String"/>
    <hyperlink ref="L44" r:id="rId86" display="https://leetcode.com/problems/permutation-in-string/"/>
    <hyperlink ref="G45" r:id="rId87" display="Find All Anagrams in a String"/>
    <hyperlink ref="L45" r:id="rId88" display="https://leetcode.com/problems/find-all-anagrams-in-a-string/"/>
    <hyperlink ref="G46" r:id="rId89" display="Maximum Points You Can Obtain from Cards"/>
    <hyperlink ref="L46" r:id="rId90" display="https://leetcode.com/problems/maximum-points-you-can-obtain-from-cards/"/>
    <hyperlink ref="G47" r:id="rId91" display="Maximum Sum of Distinct Subarrays With Length K"/>
    <hyperlink ref="L47" r:id="rId92" display="https://leetcode.com/problems/maximum-sum-of-distinct-subarrays-with-length-k/"/>
    <hyperlink ref="G48" r:id="rId93" display="Substring with Concatenation of All Words"/>
    <hyperlink ref="L48" r:id="rId94" display="https://leetcode.com/problems/substring-with-concatenation-of-all-words/"/>
    <hyperlink ref="G49" r:id="rId95" display="Longest Substring Without Repeating Characters"/>
    <hyperlink ref="L49" r:id="rId96" display="https://leetcode.com/problems/longest-substring-without-repeating-characters/"/>
    <hyperlink ref="G50" r:id="rId97" display="Minimum Size Subarray Sum"/>
    <hyperlink ref="L50" r:id="rId98" display="https://leetcode.com/problems/minimum-size-subarray-sum/"/>
    <hyperlink ref="G51" r:id="rId99" display="Longest Repeating Character Replacement"/>
    <hyperlink ref="L51" r:id="rId100" display="https://leetcode.com/problems/longest-repeating-character-replacement/"/>
    <hyperlink ref="G52" r:id="rId101" display="Max Consecutive Ones III"/>
    <hyperlink ref="L52" r:id="rId102" display="https://leetcode.com/problems/max-consecutive-ones-iii/"/>
    <hyperlink ref="G53" r:id="rId103" display="Fruit Into Baskets"/>
    <hyperlink ref="L53" r:id="rId104" display="https://leetcode.com/problems/fruit-into-baskets/"/>
    <hyperlink ref="G54" r:id="rId105" display="Longest Subarray of 1's After Deleting One Element"/>
    <hyperlink ref="L54" r:id="rId106" display="https://leetcode.com/problems/longest-subarray-of-1s-after-deleting-one-element/"/>
    <hyperlink ref="G55" r:id="rId107" display="Minimum Window Substring"/>
    <hyperlink ref="L55" r:id="rId108" display="https://leetcode.com/problems/minimum-window-substring/"/>
    <hyperlink ref="G56" r:id="rId109" display="Subarray Product Less Than K"/>
    <hyperlink ref="L56" r:id="rId110" display="https://leetcode.com/problems/subarray-product-less-than-k/"/>
    <hyperlink ref="G57" r:id="rId111" display="Binary Subarrays With Sum"/>
    <hyperlink ref="L57" r:id="rId112" display="https://leetcode.com/problems/binary-subarrays-with-sum/"/>
    <hyperlink ref="G58" r:id="rId113" display="Count Number of Nice Subarrays"/>
    <hyperlink ref="L58" r:id="rId114" display="https://leetcode.com/problems/count-number-of-nice-subarrays/"/>
    <hyperlink ref="G59" r:id="rId115" display="Number of Substrings Containing All Three Characters"/>
    <hyperlink ref="L59" r:id="rId116" display="https://leetcode.com/problems/number-of-substrings-containing-all-three-characters/"/>
    <hyperlink ref="G60" r:id="rId117" display="Longest Substring with At Most K Distinct Characters"/>
    <hyperlink ref="L60" r:id="rId118" display="https://leetcode.com/problems/longest-substring-with-at-most-k-distinct-characters/"/>
    <hyperlink ref="G61" r:id="rId119" display="Subarrays with K Different Integers"/>
    <hyperlink ref="L61" r:id="rId120" display="https://leetcode.com/problems/subarrays-with-k-different-integers/"/>
    <hyperlink ref="G62" r:id="rId121" display="Count Subarrays With Score Less Than K"/>
    <hyperlink ref="L62" r:id="rId122" display="https://leetcode.com/problems/count-subarrays-with-score-less-than-k/"/>
    <hyperlink ref="G63" r:id="rId123" display="Longest Continuous Subarray With Absolute Diff Less Than or Equal to Limit"/>
    <hyperlink ref="L63" r:id="rId124" display="https://leetcode.com/problems/longest-continuous-subarray-with-absolute-diff-less-than-or-equal-to-limit/"/>
    <hyperlink ref="G64" r:id="rId125" display="Jump Game VI"/>
    <hyperlink ref="L64" r:id="rId126" display="https://leetcode.com/problems/jump-game-vi/"/>
    <hyperlink ref="G65" r:id="rId127" display="Sliding Window Maximum"/>
    <hyperlink ref="L65" r:id="rId128" display="https://leetcode.com/problems/sliding-window-maximum/"/>
    <hyperlink ref="G66" r:id="rId129" display="Shortest Subarray with Sum at Least K"/>
    <hyperlink ref="L66" r:id="rId130" display="https://leetcode.com/problems/shortest-subarray-with-sum-at-least-k/"/>
    <hyperlink ref="G67" r:id="rId131" display="Max Value of Equation"/>
    <hyperlink ref="L67" r:id="rId132" display="https://leetcode.com/problems/max-value-of-equation/"/>
    <hyperlink ref="G68" r:id="rId133" display="Running Sum of 1d Array"/>
    <hyperlink ref="L68" r:id="rId134" display="https://leetcode.com/problems/running-sum-of-1d-array/"/>
    <hyperlink ref="G69" r:id="rId135" display="Range Sum Query - Immutable"/>
    <hyperlink ref="L69" r:id="rId136" display="https://leetcode.com/problems/range-sum-query-immutable/"/>
    <hyperlink ref="G70" r:id="rId137" display="Find Pivot Index"/>
    <hyperlink ref="L70" r:id="rId138" display="https://leetcode.com/problems/find-pivot-index/"/>
    <hyperlink ref="G71" r:id="rId139" display="Subarray Sum Equals K"/>
    <hyperlink ref="L71" r:id="rId140" display="https://leetcode.com/problems/subarray-sum-equals-k/"/>
    <hyperlink ref="G72" r:id="rId141" display="Subarray Sums Divisible by K"/>
    <hyperlink ref="L72" r:id="rId142" display="https://leetcode.com/problems/subarray-sums-divisible-by-k/"/>
    <hyperlink ref="G73" r:id="rId143" display="Continuous Subarray Sum"/>
    <hyperlink ref="L73" r:id="rId144" display="https://leetcode.com/problems/continuous-subarray-sum/"/>
    <hyperlink ref="G74" r:id="rId145" display="Contiguous Array"/>
    <hyperlink ref="L74" r:id="rId146" display="https://leetcode.com/problems/contiguous-array/"/>
    <hyperlink ref="G75" r:id="rId147" display="Number of Submatrices That Sum to Target"/>
    <hyperlink ref="L75" r:id="rId148" display="https://leetcode.com/problems/number-of-submatrices-that-sum-to-target/"/>
    <hyperlink ref="G76" r:id="rId149" display="Range Sum Query 2D - Immutable"/>
    <hyperlink ref="L76" r:id="rId150" display="https://leetcode.com/problems/range-sum-query-2d-immutable/"/>
    <hyperlink ref="G77" r:id="rId151" display="Matrix Block Sum"/>
    <hyperlink ref="L77" r:id="rId152" display="https://leetcode.com/problems/matrix-block-sum/"/>
    <hyperlink ref="G78" r:id="rId153" display="Car Pooling"/>
    <hyperlink ref="L78" r:id="rId154" display="https://leetcode.com/problems/car-pooling/"/>
    <hyperlink ref="G79" r:id="rId155" display="Corporate Flight Bookings"/>
    <hyperlink ref="L79" r:id="rId156" display="https://leetcode.com/problems/corporate-flight-bookings/"/>
    <hyperlink ref="G80" r:id="rId157" display="Shifting Letters II"/>
    <hyperlink ref="L80" r:id="rId158" display="https://leetcode.com/problems/shifting-letters-ii/"/>
    <hyperlink ref="G81" r:id="rId159" display="Product of Array Except Self"/>
    <hyperlink ref="L81" r:id="rId160" display="https://leetcode.com/problems/product-of-array-except-self/"/>
    <hyperlink ref="G82" r:id="rId161" display="Minimum Penalty for a Shop"/>
    <hyperlink ref="L82" r:id="rId162" display="https://leetcode.com/problems/minimum-penalty-for-a-shop/"/>
    <hyperlink ref="G83" r:id="rId163" display="Best Time to Buy and Sell Stock"/>
    <hyperlink ref="L83" r:id="rId164" display="https://leetcode.com/problems/best-time-to-buy-and-sell-stock/"/>
    <hyperlink ref="G84" r:id="rId165" display="Maximum Subarray"/>
    <hyperlink ref="L84" r:id="rId166" display="https://leetcode.com/problems/maximum-subarray/"/>
    <hyperlink ref="G85" r:id="rId167" display="Maximum Absolute Sum of Any Subarray"/>
    <hyperlink ref="L85" r:id="rId168" display="https://leetcode.com/problems/maximum-absolute-sum-of-any-subarray/"/>
    <hyperlink ref="G86" r:id="rId169" display="Maximum Product Subarray"/>
    <hyperlink ref="L86" r:id="rId170" display="https://leetcode.com/problems/maximum-product-subarray/"/>
    <hyperlink ref="G87" r:id="rId171" display="Maximum Sum Circular Subarray"/>
    <hyperlink ref="L87" r:id="rId172" display="https://leetcode.com/problems/maximum-sum-circular-subarray/"/>
    <hyperlink ref="G88" r:id="rId173" display="Maximum Subarray Sum with One Deletion"/>
    <hyperlink ref="L88" r:id="rId174" display="https://leetcode.com/problems/maximum-subarray-sum-with-one-deletion/"/>
    <hyperlink ref="G89" r:id="rId175" display="Valid Palindrome II"/>
    <hyperlink ref="L89" r:id="rId176" display="https://leetcode.com/problems/valid-palindrome-ii/"/>
    <hyperlink ref="G90" r:id="rId177" display="Palindrome Number"/>
    <hyperlink ref="L90" r:id="rId178" display="https://leetcode.com/problems/palindrome-number/"/>
    <hyperlink ref="G91" r:id="rId179" display="Longest Palindromic Substring"/>
    <hyperlink ref="L91" r:id="rId180" display="https://leetcode.com/problems/longest-palindromic-substring/"/>
    <hyperlink ref="G92" r:id="rId181" display="Palindromic Substrings"/>
    <hyperlink ref="L92" r:id="rId182" display="https://leetcode.com/problems/palindromic-substrings/"/>
    <hyperlink ref="G93" r:id="rId183" display="Longest Palindrome"/>
    <hyperlink ref="L93" r:id="rId184" display="https://leetcode.com/problems/longest-palindrome/"/>
    <hyperlink ref="G94" r:id="rId185" display="Shortest Palindrome"/>
    <hyperlink ref="L94" r:id="rId186" display="https://leetcode.com/problems/shortest-palindrome/"/>
    <hyperlink ref="G95" r:id="rId187" display="Palindrome Pairs"/>
    <hyperlink ref="L95" r:id="rId188" display="https://leetcode.com/problems/palindrome-pairs/"/>
    <hyperlink ref="G96" r:id="rId189" display="Valid Anagram"/>
    <hyperlink ref="L96" r:id="rId190" display="https://leetcode.com/problems/valid-anagram/"/>
    <hyperlink ref="G97" r:id="rId191" display="Ransom Note"/>
    <hyperlink ref="L97" r:id="rId192" display="https://leetcode.com/problems/ransom-note/"/>
    <hyperlink ref="G98" r:id="rId193" display="First Unique Character in a String"/>
    <hyperlink ref="L98" r:id="rId194" display="https://leetcode.com/problems/first-unique-character-in-a-string/"/>
    <hyperlink ref="G99" r:id="rId195" display="Group Anagrams"/>
    <hyperlink ref="L99" r:id="rId196" display="https://leetcode.com/problems/group-anagrams/"/>
    <hyperlink ref="G100" r:id="rId197" display="Determine if Two Strings Are Close"/>
    <hyperlink ref="L100" r:id="rId198" display="https://leetcode.com/problems/determine-if-two-strings-are-close/"/>
    <hyperlink ref="G101" r:id="rId199" display="Sort Characters By Frequency"/>
    <hyperlink ref="L101" r:id="rId200" display="https://leetcode.com/problems/sort-characters-by-frequency/"/>
    <hyperlink ref="G102" r:id="rId201" display="Isomorphic Strings"/>
    <hyperlink ref="L102" r:id="rId202" display="https://leetcode.com/problems/isomorphic-strings/"/>
    <hyperlink ref="G103" r:id="rId203" display="Word Pattern"/>
    <hyperlink ref="L103" r:id="rId204" display="https://leetcode.com/problems/word-pattern/"/>
    <hyperlink ref="G104" r:id="rId205" display="Number of Matching Subsequences"/>
    <hyperlink ref="L104" r:id="rId206" display="https://leetcode.com/problems/number-of-matching-subsequences/"/>
    <hyperlink ref="G105" r:id="rId207" display="Find the Index of the First Occurrence in a String"/>
    <hyperlink ref="L105" r:id="rId208" display="https://leetcode.com/problems/find-the-index-of-the-first-occurrence-in-a-string/"/>
    <hyperlink ref="G106" r:id="rId209" display="Repeated Substring Pattern"/>
    <hyperlink ref="L106" r:id="rId210" display="https://leetcode.com/problems/repeated-substring-pattern/"/>
    <hyperlink ref="G107" r:id="rId211" display="Longest Happy Prefix"/>
    <hyperlink ref="L107" r:id="rId212" display="https://leetcode.com/problems/longest-happy-prefix/"/>
    <hyperlink ref="G108" r:id="rId213" display="Repeated DNA Sequences"/>
    <hyperlink ref="L108" r:id="rId214" display="https://leetcode.com/problems/repeated-dna-sequences/"/>
    <hyperlink ref="G109" r:id="rId215" display="Repeated String Match"/>
    <hyperlink ref="L109" r:id="rId216" display="https://leetcode.com/problems/repeated-string-match/"/>
    <hyperlink ref="G110" r:id="rId217" display="Longest Duplicate Substring"/>
    <hyperlink ref="L110" r:id="rId218" display="https://leetcode.com/problems/longest-duplicate-substring/"/>
    <hyperlink ref="G111" r:id="rId219" display="Sum of Scores of Built Strings"/>
    <hyperlink ref="L111" r:id="rId220" display="https://leetcode.com/problems/sum-of-scores-of-built-strings/"/>
    <hyperlink ref="G112" r:id="rId221" display="Roman to Integer"/>
    <hyperlink ref="L112" r:id="rId222" display="https://leetcode.com/problems/roman-to-integer/"/>
    <hyperlink ref="G113" r:id="rId223" display="Longest Common Prefix"/>
    <hyperlink ref="L113" r:id="rId224" display="https://leetcode.com/problems/longest-common-prefix/"/>
    <hyperlink ref="G114" r:id="rId225" display="Add Binary"/>
    <hyperlink ref="L114" r:id="rId226" display="https://leetcode.com/problems/add-binary/"/>
    <hyperlink ref="G115" r:id="rId227" display="String to Integer (atoi)"/>
    <hyperlink ref="L115" r:id="rId228" display="https://leetcode.com/problems/string-to-integer-atoi/"/>
    <hyperlink ref="G116" r:id="rId229" display="Integer to Roman"/>
    <hyperlink ref="L116" r:id="rId230" display="https://leetcode.com/problems/integer-to-roman/"/>
    <hyperlink ref="G117" r:id="rId231" display="Reverse Words in a String"/>
    <hyperlink ref="L117" r:id="rId232" display="https://leetcode.com/problems/reverse-words-in-a-string/"/>
    <hyperlink ref="G118" r:id="rId233" display="Zigzag Conversion"/>
    <hyperlink ref="L118" r:id="rId234" display="https://leetcode.com/problems/zigzag-conversion/"/>
    <hyperlink ref="G119" r:id="rId235" display="String Compression"/>
    <hyperlink ref="L119" r:id="rId236" display="https://leetcode.com/problems/string-compression/"/>
    <hyperlink ref="G120" r:id="rId237" display="Encode and Decode Strings"/>
    <hyperlink ref="L120" r:id="rId238" display="https://leetcode.com/problems/encode-and-decode-strings/"/>
    <hyperlink ref="G121" r:id="rId239" display="Multiply Strings"/>
    <hyperlink ref="L121" r:id="rId240" display="https://leetcode.com/problems/multiply-strings/"/>
    <hyperlink ref="G122" r:id="rId241" display="Text Justification"/>
    <hyperlink ref="L122" r:id="rId242" display="https://leetcode.com/problems/text-justification/"/>
    <hyperlink ref="G123" r:id="rId243" display="Spiral Matrix"/>
    <hyperlink ref="L123" r:id="rId244" display="https://leetcode.com/problems/spiral-matrix/"/>
    <hyperlink ref="G124" r:id="rId245" display="Spiral Matrix II"/>
    <hyperlink ref="L124" r:id="rId246" display="https://leetcode.com/problems/spiral-matrix-ii/"/>
    <hyperlink ref="G125" r:id="rId247" display="Diagonal Traverse"/>
    <hyperlink ref="L125" r:id="rId248" display="https://leetcode.com/problems/diagonal-traverse/"/>
    <hyperlink ref="G126" r:id="rId249" display="Transpose Matrix"/>
    <hyperlink ref="L126" r:id="rId250" display="https://leetcode.com/problems/transpose-matrix/"/>
    <hyperlink ref="G127" r:id="rId251" display="Toeplitz Matrix"/>
    <hyperlink ref="L127" r:id="rId252" display="https://leetcode.com/problems/toeplitz-matrix/"/>
    <hyperlink ref="G128" r:id="rId253" display="Rotate Image"/>
    <hyperlink ref="L128" r:id="rId254" display="https://leetcode.com/problems/rotate-image/"/>
    <hyperlink ref="G129" r:id="rId255" display="Set Matrix Zeroes"/>
    <hyperlink ref="L129" r:id="rId256" display="https://leetcode.com/problems/set-matrix-zeroes/"/>
    <hyperlink ref="G130" r:id="rId257" display="Game of Life"/>
    <hyperlink ref="L130" r:id="rId258" display="https://leetcode.com/problems/game-of-life/"/>
    <hyperlink ref="G131" r:id="rId259" display="Valid Parentheses"/>
    <hyperlink ref="L131" r:id="rId260" display="https://leetcode.com/problems/valid-parentheses/"/>
    <hyperlink ref="G132" r:id="rId261" display="Remove All Adjacent Duplicates In String"/>
    <hyperlink ref="L132" r:id="rId262" display="https://leetcode.com/problems/remove-all-adjacent-duplicates-in-string/"/>
    <hyperlink ref="G133" r:id="rId263" display="Minimum Add to Make Parentheses Valid"/>
    <hyperlink ref="L133" r:id="rId264" display="https://leetcode.com/problems/minimum-add-to-make-parentheses-valid/"/>
    <hyperlink ref="G134" r:id="rId265" display="Minimum Remove to Make Valid Parentheses"/>
    <hyperlink ref="L134" r:id="rId266" display="https://leetcode.com/problems/minimum-remove-to-make-valid-parentheses/"/>
    <hyperlink ref="G135" r:id="rId267" display="Remove All Adjacent Duplicates in String II"/>
    <hyperlink ref="L135" r:id="rId268" display="https://leetcode.com/problems/remove-all-adjacent-duplicates-in-string-ii/"/>
    <hyperlink ref="G136" r:id="rId269" display="Longest Valid Parentheses"/>
    <hyperlink ref="L136" r:id="rId270" display="https://leetcode.com/problems/longest-valid-parentheses/"/>
    <hyperlink ref="G137" r:id="rId271" display="Removing Stars From a String"/>
    <hyperlink ref="L137" r:id="rId272" display="https://leetcode.com/problems/removing-stars-from-a-string/"/>
    <hyperlink ref="G138" r:id="rId273" display="Asteroid Collision"/>
    <hyperlink ref="L138" r:id="rId274" display="https://leetcode.com/problems/asteroid-collision/"/>
    <hyperlink ref="G139" r:id="rId275" display="Validate Stack Sequences"/>
    <hyperlink ref="L139" r:id="rId276" display="https://leetcode.com/problems/validate-stack-sequences/"/>
    <hyperlink ref="G140" r:id="rId277" display="Evaluate Reverse Polish Notation"/>
    <hyperlink ref="L140" r:id="rId278" display="https://leetcode.com/problems/evaluate-reverse-polish-notation/"/>
    <hyperlink ref="G141" r:id="rId279" display="Decode String"/>
    <hyperlink ref="L141" r:id="rId280" display="https://leetcode.com/problems/decode-string/"/>
    <hyperlink ref="G142" r:id="rId281" display="Simplify Path"/>
    <hyperlink ref="L142" r:id="rId282" display="https://leetcode.com/problems/simplify-path/"/>
    <hyperlink ref="G143" r:id="rId283" display="Basic Calculator II"/>
    <hyperlink ref="L143" r:id="rId284" display="https://leetcode.com/problems/basic-calculator-ii/"/>
    <hyperlink ref="G144" r:id="rId285" display="Basic Calculator"/>
    <hyperlink ref="L144" r:id="rId286" display="https://leetcode.com/problems/basic-calculator/"/>
    <hyperlink ref="G145" r:id="rId287" display="Next Greater Element I"/>
    <hyperlink ref="L145" r:id="rId288" display="https://leetcode.com/problems/next-greater-element-i/"/>
    <hyperlink ref="G146" r:id="rId289" display="Daily Temperatures"/>
    <hyperlink ref="L146" r:id="rId290" display="https://leetcode.com/problems/daily-temperatures/"/>
    <hyperlink ref="G147" r:id="rId291" display="Next Greater Element II"/>
    <hyperlink ref="L147" r:id="rId292" display="https://leetcode.com/problems/next-greater-element-ii/"/>
    <hyperlink ref="G148" r:id="rId293" display="Online Stock Span"/>
    <hyperlink ref="L148" r:id="rId294" display="https://leetcode.com/problems/online-stock-span/"/>
    <hyperlink ref="G149" r:id="rId295" display="Car Fleet"/>
    <hyperlink ref="L149" r:id="rId296" display="https://leetcode.com/problems/car-fleet/"/>
    <hyperlink ref="G150" r:id="rId297" display="Largest Rectangle in Histogram"/>
    <hyperlink ref="L150" r:id="rId298" display="https://leetcode.com/problems/largest-rectangle-in-histogram/"/>
    <hyperlink ref="G151" r:id="rId299" display="Maximal Rectangle"/>
    <hyperlink ref="L151" r:id="rId300" display="https://leetcode.com/problems/maximal-rectangle/"/>
    <hyperlink ref="G152" r:id="rId301" display="Sum of Subarray Minimums"/>
    <hyperlink ref="L152" r:id="rId302" display="https://leetcode.com/problems/sum-of-subarray-minimums/"/>
    <hyperlink ref="G153" r:id="rId303" display="Sum of Subarray Ranges"/>
    <hyperlink ref="L153" r:id="rId304" display="https://leetcode.com/problems/sum-of-subarray-ranges/"/>
    <hyperlink ref="G154" r:id="rId305" display="Remove K Digits"/>
    <hyperlink ref="L154" r:id="rId306" display="https://leetcode.com/problems/remove-k-digits/"/>
    <hyperlink ref="G155" r:id="rId307" display="Remove Duplicate Letters"/>
    <hyperlink ref="L155" r:id="rId308" display="https://leetcode.com/problems/remove-duplicate-letters/"/>
    <hyperlink ref="G156" r:id="rId309" display="Implement Queue using Stacks"/>
    <hyperlink ref="L156" r:id="rId310" display="https://leetcode.com/problems/implement-queue-using-stacks/"/>
    <hyperlink ref="G157" r:id="rId311" display="Implement Stack using Queues"/>
    <hyperlink ref="L157" r:id="rId312" display="https://leetcode.com/problems/implement-stack-using-queues/"/>
    <hyperlink ref="G158" r:id="rId313" display="Min Stack"/>
    <hyperlink ref="L158" r:id="rId314" display="https://leetcode.com/problems/min-stack/"/>
    <hyperlink ref="G159" r:id="rId315" display="Maximum Frequency Stack"/>
    <hyperlink ref="L159" r:id="rId316" display="https://leetcode.com/problems/maximum-frequency-stack/"/>
    <hyperlink ref="G160" r:id="rId317" display="Number of Recent Calls"/>
    <hyperlink ref="L160" r:id="rId318" display="https://leetcode.com/problems/number-of-recent-calls/"/>
    <hyperlink ref="G161" r:id="rId319" display="Dota2 Senate"/>
    <hyperlink ref="L161" r:id="rId320" display="https://leetcode.com/problems/dota2-senate/"/>
    <hyperlink ref="G162" r:id="rId321" display="Reveal Cards In Increasing Order"/>
    <hyperlink ref="L162" r:id="rId322" display="https://leetcode.com/problems/reveal-cards-in-increasing-order/"/>
    <hyperlink ref="G163" r:id="rId323" display="Design Circular Queue"/>
    <hyperlink ref="L163" r:id="rId324" display="https://leetcode.com/problems/design-circular-queue/"/>
    <hyperlink ref="G164" r:id="rId325" display="Design Circular Deque"/>
    <hyperlink ref="L164" r:id="rId326" display="https://leetcode.com/problems/design-circular-deque/"/>
    <hyperlink ref="G165" r:id="rId327" display="Binary Search"/>
    <hyperlink ref="L165" r:id="rId328" display="https://leetcode.com/problems/binary-search/"/>
    <hyperlink ref="G166" r:id="rId329" display="Search Insert Position"/>
    <hyperlink ref="L166" r:id="rId330" display="https://leetcode.com/problems/search-insert-position/"/>
    <hyperlink ref="G167" r:id="rId331" display="First Bad Version"/>
    <hyperlink ref="L167" r:id="rId332" display="https://leetcode.com/problems/first-bad-version/"/>
    <hyperlink ref="G168" r:id="rId333" display="Sqrt(x)"/>
    <hyperlink ref="L168" r:id="rId334" display="https://leetcode.com/problems/sqrtx/"/>
    <hyperlink ref="G169" r:id="rId335" display="Find Smallest Letter Greater Than Target"/>
    <hyperlink ref="L169" r:id="rId336" display="https://leetcode.com/problems/find-smallest-letter-greater-than-target/"/>
    <hyperlink ref="G170" r:id="rId337" display="Find First and Last Position of Element in Sorted Array"/>
    <hyperlink ref="L170" r:id="rId338" display="https://leetcode.com/problems/find-first-and-last-position-of-element-in-sorted-array/"/>
    <hyperlink ref="G171" r:id="rId339" display="Find K Closest Elements"/>
    <hyperlink ref="L171" r:id="rId340" display="https://leetcode.com/problems/find-k-closest-elements/"/>
    <hyperlink ref="G172" r:id="rId341" display="Search in Rotated Sorted Array"/>
    <hyperlink ref="L172" r:id="rId342" display="https://leetcode.com/problems/search-in-rotated-sorted-array/"/>
    <hyperlink ref="G173" r:id="rId343" display="Find Minimum in Rotated Sorted Array"/>
    <hyperlink ref="L173" r:id="rId344" display="https://leetcode.com/problems/find-minimum-in-rotated-sorted-array/"/>
    <hyperlink ref="G174" r:id="rId345" display="Search in Rotated Sorted Array II"/>
    <hyperlink ref="L174" r:id="rId346" display="https://leetcode.com/problems/search-in-rotated-sorted-array-ii/"/>
    <hyperlink ref="G175" r:id="rId347" display="Find Minimum in Rotated Sorted Array II"/>
    <hyperlink ref="L175" r:id="rId348" display="https://leetcode.com/problems/find-minimum-in-rotated-sorted-array-ii/"/>
    <hyperlink ref="G176" r:id="rId349" display="Peak Index in a Mountain Array"/>
    <hyperlink ref="L176" r:id="rId350" display="https://leetcode.com/problems/peak-index-in-a-mountain-array/"/>
    <hyperlink ref="G177" r:id="rId351" display="Find Peak Element"/>
    <hyperlink ref="L177" r:id="rId352" display="https://leetcode.com/problems/find-peak-element/"/>
    <hyperlink ref="G178" r:id="rId353" display="Single Element in a Sorted Array"/>
    <hyperlink ref="L178" r:id="rId354" display="https://leetcode.com/problems/single-element-in-a-sorted-array/"/>
    <hyperlink ref="G179" r:id="rId355" display="Find in Mountain Array"/>
    <hyperlink ref="L179" r:id="rId356" display="https://leetcode.com/problems/find-in-mountain-array/"/>
    <hyperlink ref="G180" r:id="rId357" display="Search a 2D Matrix"/>
    <hyperlink ref="L180" r:id="rId358" display="https://leetcode.com/problems/search-a-2d-matrix/"/>
    <hyperlink ref="G181" r:id="rId359" display="Search a 2D Matrix II"/>
    <hyperlink ref="L181" r:id="rId360" display="https://leetcode.com/problems/search-a-2d-matrix-ii/"/>
    <hyperlink ref="G182" r:id="rId361" display="Kth Smallest Element in a Sorted Matrix"/>
    <hyperlink ref="L182" r:id="rId362" display="https://leetcode.com/problems/kth-smallest-element-in-a-sorted-matrix/"/>
    <hyperlink ref="G183" r:id="rId363" display="Time Based Key-Value Store"/>
    <hyperlink ref="L183" r:id="rId364" display="https://leetcode.com/problems/time-based-key-value-store/"/>
    <hyperlink ref="G184" r:id="rId365" display="Median of Two Sorted Arrays"/>
    <hyperlink ref="L184" r:id="rId366" display="https://leetcode.com/problems/median-of-two-sorted-arrays/"/>
    <hyperlink ref="G185" r:id="rId367" display="Koko Eating Bananas"/>
    <hyperlink ref="L185" r:id="rId368" display="https://leetcode.com/problems/koko-eating-bananas/"/>
    <hyperlink ref="G186" r:id="rId369" display="Capacity To Ship Packages Within D Days"/>
    <hyperlink ref="L186" r:id="rId370" display="https://leetcode.com/problems/capacity-to-ship-packages-within-d-days/"/>
    <hyperlink ref="G187" r:id="rId371" display="Find the Smallest Divisor Given a Threshold"/>
    <hyperlink ref="L187" r:id="rId372" display="https://leetcode.com/problems/find-the-smallest-divisor-given-a-threshold/"/>
    <hyperlink ref="G188" r:id="rId373" display="Minimum Number of Days to Make m Bouquets"/>
    <hyperlink ref="L188" r:id="rId374" display="https://leetcode.com/problems/minimum-number-of-days-to-make-m-bouquets/"/>
    <hyperlink ref="G189" r:id="rId375" display="Magnetic Force Between Two Balls"/>
    <hyperlink ref="L189" r:id="rId376" display="https://leetcode.com/problems/magnetic-force-between-two-balls/"/>
    <hyperlink ref="G190" r:id="rId377" display="Minimized Maximum of Products Distributed to Any Store"/>
    <hyperlink ref="L190" r:id="rId378" display="https://leetcode.com/problems/minimized-maximum-of-products-distributed-to-any-store/"/>
    <hyperlink ref="G191" r:id="rId379" display="Split Array Largest Sum"/>
    <hyperlink ref="L191" r:id="rId380" display="https://leetcode.com/problems/split-array-largest-sum/"/>
    <hyperlink ref="G192" r:id="rId381" display="Find K-th Smallest Pair Distance"/>
    <hyperlink ref="L192" r:id="rId382" display="https://leetcode.com/problems/find-k-th-smallest-pair-distance/"/>
    <hyperlink ref="G193" r:id="rId383" display="Linked List Cycle"/>
    <hyperlink ref="L193" r:id="rId384" display="https://leetcode.com/problems/linked-list-cycle/"/>
    <hyperlink ref="G194" r:id="rId385" display="Linked List Cycle II"/>
    <hyperlink ref="L194" r:id="rId386" display="https://leetcode.com/problems/linked-list-cycle-ii/"/>
    <hyperlink ref="G195" r:id="rId387" display="Middle of the Linked List"/>
    <hyperlink ref="L195" r:id="rId388" display="https://leetcode.com/problems/middle-of-the-linked-list/"/>
    <hyperlink ref="G196" r:id="rId389" display="Palindrome Linked List"/>
    <hyperlink ref="L196" r:id="rId390" display="https://leetcode.com/problems/palindrome-linked-list/"/>
    <hyperlink ref="G197" r:id="rId391" display="Delete the Middle Node of a Linked List"/>
    <hyperlink ref="L197" r:id="rId392" display="https://leetcode.com/problems/delete-the-middle-node-of-a-linked-list/"/>
    <hyperlink ref="G198" r:id="rId393" display="Reverse Linked List"/>
    <hyperlink ref="L198" r:id="rId394" display="https://leetcode.com/problems/reverse-linked-list/"/>
    <hyperlink ref="G199" r:id="rId395" display="Reverse Linked List II"/>
    <hyperlink ref="L199" r:id="rId396" display="https://leetcode.com/problems/reverse-linked-list-ii/"/>
    <hyperlink ref="G200" r:id="rId397" display="Swap Nodes in Pairs"/>
    <hyperlink ref="L200" r:id="rId398" display="https://leetcode.com/problems/swap-nodes-in-pairs/"/>
    <hyperlink ref="G201" r:id="rId399" display="Maximum Twin Sum of a Linked List"/>
    <hyperlink ref="L201" r:id="rId400" display="https://leetcode.com/problems/maximum-twin-sum-of-a-linked-list/"/>
    <hyperlink ref="G202" r:id="rId401" display="Reverse Nodes in k-Group"/>
    <hyperlink ref="L202" r:id="rId402" display="https://leetcode.com/problems/reverse-nodes-in-k-group/"/>
    <hyperlink ref="G203" r:id="rId403" display="Remove Linked List Elements"/>
    <hyperlink ref="L203" r:id="rId404" display="https://leetcode.com/problems/remove-linked-list-elements/"/>
    <hyperlink ref="G204" r:id="rId405" display="Remove Duplicates from Sorted List"/>
    <hyperlink ref="L204" r:id="rId406" display="https://leetcode.com/problems/remove-duplicates-from-sorted-list/"/>
    <hyperlink ref="G205" r:id="rId407" display="Remove Nth Node From End of List"/>
    <hyperlink ref="L205" r:id="rId408" display="https://leetcode.com/problems/remove-nth-node-from-end-of-list/"/>
    <hyperlink ref="G206" r:id="rId409" display="Remove Duplicates from Sorted List II"/>
    <hyperlink ref="L206" r:id="rId410" display="https://leetcode.com/problems/remove-duplicates-from-sorted-list-ii/"/>
    <hyperlink ref="G207" r:id="rId411" display="Merge Two Sorted Lists"/>
    <hyperlink ref="L207" r:id="rId412" display="https://leetcode.com/problems/merge-two-sorted-lists/"/>
    <hyperlink ref="G208" r:id="rId413" display="Reorder List"/>
    <hyperlink ref="L208" r:id="rId414" display="https://leetcode.com/problems/reorder-list/"/>
    <hyperlink ref="G209" r:id="rId415" display="Odd Even Linked List"/>
    <hyperlink ref="L209" r:id="rId416" display="https://leetcode.com/problems/odd-even-linked-list/"/>
    <hyperlink ref="G210" r:id="rId417" display="Partition List"/>
    <hyperlink ref="L210" r:id="rId418" display="https://leetcode.com/problems/partition-list/"/>
    <hyperlink ref="G211" r:id="rId419" display="Rotate List"/>
    <hyperlink ref="L211" r:id="rId420" display="https://leetcode.com/problems/rotate-list/"/>
    <hyperlink ref="G212" r:id="rId421" display="Intersection of Two Linked Lists"/>
    <hyperlink ref="L212" r:id="rId422" display="https://leetcode.com/problems/intersection-of-two-linked-lists/"/>
    <hyperlink ref="G213" r:id="rId423" display="Add Two Numbers"/>
    <hyperlink ref="L213" r:id="rId424" display="https://leetcode.com/problems/add-two-numbers/"/>
    <hyperlink ref="G214" r:id="rId425" display="Add Two Numbers II"/>
    <hyperlink ref="L214" r:id="rId426" display="https://leetcode.com/problems/add-two-numbers-ii/"/>
    <hyperlink ref="G215" r:id="rId427" display="Copy List with Random Pointer"/>
    <hyperlink ref="L215" r:id="rId428" display="https://leetcode.com/problems/copy-list-with-random-pointer/"/>
    <hyperlink ref="G216" r:id="rId429" display="Flatten a Multilevel Doubly Linked List"/>
    <hyperlink ref="L216" r:id="rId430" display="https://leetcode.com/problems/flatten-a-multilevel-doubly-linked-list/"/>
    <hyperlink ref="G217" r:id="rId431" display="Design Linked List"/>
    <hyperlink ref="L217" r:id="rId432" display="https://leetcode.com/problems/design-linked-list/"/>
    <hyperlink ref="G218" r:id="rId433" display="Summary Ranges"/>
    <hyperlink ref="L218" r:id="rId434" display="https://leetcode.com/problems/summary-ranges/"/>
    <hyperlink ref="G219" r:id="rId435" display="Merge Intervals"/>
    <hyperlink ref="L219" r:id="rId436" display="https://leetcode.com/problems/merge-intervals/"/>
    <hyperlink ref="G220" r:id="rId437" display="Insert Interval"/>
    <hyperlink ref="L220" r:id="rId438" display="https://leetcode.com/problems/insert-interval/"/>
    <hyperlink ref="G221" r:id="rId439" display="Meeting Rooms"/>
    <hyperlink ref="L221" r:id="rId440" display="https://leetcode.com/problems/meeting-rooms/"/>
    <hyperlink ref="G222" r:id="rId441" display="Non-overlapping Intervals"/>
    <hyperlink ref="L222" r:id="rId442" display="https://leetcode.com/problems/non-overlapping-intervals/"/>
    <hyperlink ref="G223" r:id="rId443" display="Minimum Number of Arrows to Burst Balloons"/>
    <hyperlink ref="L223" r:id="rId444" display="https://leetcode.com/problems/minimum-number-of-arrows-to-burst-balloons/"/>
    <hyperlink ref="G224" r:id="rId445" display="Meeting Rooms II"/>
    <hyperlink ref="L224" r:id="rId446" display="https://leetcode.com/problems/meeting-rooms-ii/"/>
    <hyperlink ref="G225" r:id="rId447" display="Minimum Interval to Include Each Query"/>
    <hyperlink ref="L225" r:id="rId448" display="https://leetcode.com/problems/minimum-interval-to-include-each-query/"/>
    <hyperlink ref="G226" r:id="rId449" display="Meeting Rooms III"/>
    <hyperlink ref="L226" r:id="rId450" display="https://leetcode.com/problems/meeting-rooms-iii/"/>
    <hyperlink ref="G227" r:id="rId451" display="My Calendar III"/>
    <hyperlink ref="L227" r:id="rId452" display="https://leetcode.com/problems/my-calendar-iii/"/>
    <hyperlink ref="G228" r:id="rId453" display="The Skyline Problem"/>
    <hyperlink ref="L228" r:id="rId454" display="https://leetcode.com/problems/the-skyline-problem/"/>
    <hyperlink ref="G229" r:id="rId455" display="Interval List Intersections"/>
    <hyperlink ref="L229" r:id="rId456" display="https://leetcode.com/problems/interval-list-intersections/"/>
    <hyperlink ref="G230" r:id="rId457" display="My Calendar I"/>
    <hyperlink ref="L230" r:id="rId458" display="https://leetcode.com/problems/my-calendar-i/"/>
    <hyperlink ref="G231" r:id="rId459" display="Employee Free Time"/>
    <hyperlink ref="L231" r:id="rId460" display="https://leetcode.com/problems/employee-free-time/"/>
    <hyperlink ref="G232" r:id="rId461" display="Binary Tree Preorder Traversal"/>
    <hyperlink ref="L232" r:id="rId462" display="https://leetcode.com/problems/binary-tree-preorder-traversal/"/>
    <hyperlink ref="G233" r:id="rId463" display="Binary Tree Inorder Traversal"/>
    <hyperlink ref="L233" r:id="rId464" display="https://leetcode.com/problems/binary-tree-inorder-traversal/"/>
    <hyperlink ref="G234" r:id="rId465" display="Binary Tree Postorder Traversal"/>
    <hyperlink ref="L234" r:id="rId466" display="https://leetcode.com/problems/binary-tree-postorder-traversal/"/>
    <hyperlink ref="G235" r:id="rId467" display="Same Tree"/>
    <hyperlink ref="L235" r:id="rId468" display="https://leetcode.com/problems/same-tree/"/>
    <hyperlink ref="G236" r:id="rId469" display="Invert Binary Tree"/>
    <hyperlink ref="L236" r:id="rId470" display="https://leetcode.com/problems/invert-binary-tree/"/>
    <hyperlink ref="G237" r:id="rId471" display="Symmetric Tree"/>
    <hyperlink ref="L237" r:id="rId472" display="https://leetcode.com/problems/symmetric-tree/"/>
    <hyperlink ref="G238" r:id="rId473" display="Subtree of Another Tree"/>
    <hyperlink ref="L238" r:id="rId474" display="https://leetcode.com/problems/subtree-of-another-tree/"/>
    <hyperlink ref="G239" r:id="rId475" display="Merge Two Binary Trees"/>
    <hyperlink ref="L239" r:id="rId476" display="https://leetcode.com/problems/merge-two-binary-trees/"/>
    <hyperlink ref="G240" r:id="rId477" display="Leaf-Similar Trees"/>
    <hyperlink ref="L240" r:id="rId478" display="https://leetcode.com/problems/leaf-similar-trees/"/>
    <hyperlink ref="G241" r:id="rId479" display="Average of Levels in Binary Tree"/>
    <hyperlink ref="L241" r:id="rId480" display="https://leetcode.com/problems/average-of-levels-in-binary-tree/"/>
    <hyperlink ref="G242" r:id="rId481" display="Binary Tree Level Order Traversal"/>
    <hyperlink ref="L242" r:id="rId482" display="https://leetcode.com/problems/binary-tree-level-order-traversal/"/>
    <hyperlink ref="G243" r:id="rId483" display="Binary Tree Zigzag Level Order Traversal"/>
    <hyperlink ref="L243" r:id="rId484" display="https://leetcode.com/problems/binary-tree-zigzag-level-order-traversal/"/>
    <hyperlink ref="G244" r:id="rId485" display="Binary Tree Right Side View"/>
    <hyperlink ref="L244" r:id="rId486" display="https://leetcode.com/problems/binary-tree-right-side-view/"/>
    <hyperlink ref="G245" r:id="rId487" display="Maximum Level Sum of a Binary Tree"/>
    <hyperlink ref="L245" r:id="rId488" display="https://leetcode.com/problems/maximum-level-sum-of-a-binary-tree/"/>
    <hyperlink ref="G246" r:id="rId489" display="Maximum Width of Binary Tree"/>
    <hyperlink ref="L246" r:id="rId490" display="https://leetcode.com/problems/maximum-width-of-binary-tree/"/>
    <hyperlink ref="G247" r:id="rId491" display="Populating Next Right Pointers in Each Node"/>
    <hyperlink ref="L247" r:id="rId492" display="https://leetcode.com/problems/populating-next-right-pointers-in-each-node/"/>
    <hyperlink ref="G248" r:id="rId493" display="All Nodes Distance K in Binary Tree"/>
    <hyperlink ref="L248" r:id="rId494" display="https://leetcode.com/problems/all-nodes-distance-k-in-binary-tree/"/>
    <hyperlink ref="G249" r:id="rId495" display="Amount of Time for Binary Tree to Be Infected"/>
    <hyperlink ref="L249" r:id="rId496" display="https://leetcode.com/problems/amount-of-time-for-binary-tree-to-be-infected/"/>
    <hyperlink ref="G250" r:id="rId497" display="Vertical Order Traversal of a Binary Tree"/>
    <hyperlink ref="L250" r:id="rId498" display="https://leetcode.com/problems/vertical-order-traversal-of-a-binary-tree/"/>
    <hyperlink ref="G251" r:id="rId499" display="Maximum Depth of Binary Tree"/>
    <hyperlink ref="L251" r:id="rId500" display="https://leetcode.com/problems/maximum-depth-of-binary-tree/"/>
    <hyperlink ref="G252" r:id="rId501" display="Minimum Depth of Binary Tree"/>
    <hyperlink ref="L252" r:id="rId502" display="https://leetcode.com/problems/minimum-depth-of-binary-tree/"/>
    <hyperlink ref="G253" r:id="rId503" display="Balanced Binary Tree"/>
    <hyperlink ref="L253" r:id="rId504" display="https://leetcode.com/problems/balanced-binary-tree/"/>
    <hyperlink ref="G254" r:id="rId505" display="Diameter of Binary Tree"/>
    <hyperlink ref="L254" r:id="rId506" display="https://leetcode.com/problems/diameter-of-binary-tree/"/>
    <hyperlink ref="G255" r:id="rId507" display="Binary Tree Maximum Path Sum"/>
    <hyperlink ref="L255" r:id="rId508" display="https://leetcode.com/problems/binary-tree-maximum-path-sum/"/>
    <hyperlink ref="G256" r:id="rId509" display="Path Sum"/>
    <hyperlink ref="L256" r:id="rId510" display="https://leetcode.com/problems/path-sum/"/>
    <hyperlink ref="G257" r:id="rId511" display="Binary Tree Paths"/>
    <hyperlink ref="L257" r:id="rId512" display="https://leetcode.com/problems/binary-tree-paths/"/>
    <hyperlink ref="G258" r:id="rId513" display="Path Sum II"/>
    <hyperlink ref="L258" r:id="rId514" display="https://leetcode.com/problems/path-sum-ii/"/>
    <hyperlink ref="G259" r:id="rId515" display="Sum Root to Leaf Numbers"/>
    <hyperlink ref="L259" r:id="rId516" display="https://leetcode.com/problems/sum-root-to-leaf-numbers/"/>
    <hyperlink ref="G260" r:id="rId517" display="Count Good Nodes in Binary Tree"/>
    <hyperlink ref="L260" r:id="rId518" display="https://leetcode.com/problems/count-good-nodes-in-binary-tree/"/>
    <hyperlink ref="G261" r:id="rId519" display="Path Sum III"/>
    <hyperlink ref="L261" r:id="rId520" display="https://leetcode.com/problems/path-sum-iii/"/>
    <hyperlink ref="G262" r:id="rId521" display="Longest ZigZag Path in a Binary Tree"/>
    <hyperlink ref="L262" r:id="rId522" display="https://leetcode.com/problems/longest-zigzag-path-in-a-binary-tree/"/>
    <hyperlink ref="G263" r:id="rId523" display="Lowest Common Ancestor of a Binary Search Tree"/>
    <hyperlink ref="L263" r:id="rId524" display="https://leetcode.com/problems/lowest-common-ancestor-of-a-binary-search-tree/"/>
    <hyperlink ref="G264" r:id="rId525" display="Lowest Common Ancestor of a Binary Tree"/>
    <hyperlink ref="L264" r:id="rId526" display="https://leetcode.com/problems/lowest-common-ancestor-of-a-binary-tree/"/>
    <hyperlink ref="G265" r:id="rId527" display="Lowest Common Ancestor of Deepest Leaves"/>
    <hyperlink ref="L265" r:id="rId528" display="https://leetcode.com/problems/lowest-common-ancestor-of-deepest-leaves/"/>
    <hyperlink ref="G266" r:id="rId529" display="Search in a Binary Search Tree"/>
    <hyperlink ref="L266" r:id="rId530" display="https://leetcode.com/problems/search-in-a-binary-search-tree/"/>
    <hyperlink ref="G267" r:id="rId531" display="Convert Sorted Array to Binary Search Tree"/>
    <hyperlink ref="L267" r:id="rId532" display="https://leetcode.com/problems/convert-sorted-array-to-binary-search-tree/"/>
    <hyperlink ref="G268" r:id="rId533" display="Insert into a Binary Search Tree"/>
    <hyperlink ref="L268" r:id="rId534" display="https://leetcode.com/problems/insert-into-a-binary-search-tree/"/>
    <hyperlink ref="G269" r:id="rId535" display="Delete Node in a BST"/>
    <hyperlink ref="L269" r:id="rId536" display="https://leetcode.com/problems/delete-node-in-a-bst/"/>
    <hyperlink ref="G270" r:id="rId537" display="Minimum Absolute Difference in BST"/>
    <hyperlink ref="L270" r:id="rId538" display="https://leetcode.com/problems/minimum-absolute-difference-in-bst/"/>
    <hyperlink ref="G271" r:id="rId539" display="Validate Binary Search Tree"/>
    <hyperlink ref="L271" r:id="rId540" display="https://leetcode.com/problems/validate-binary-search-tree/"/>
    <hyperlink ref="G272" r:id="rId541" display="Kth Smallest Element in a BST"/>
    <hyperlink ref="L272" r:id="rId542" display="https://leetcode.com/problems/kth-smallest-element-in-a-bst/"/>
    <hyperlink ref="G273" r:id="rId543" display="Binary Search Tree Iterator"/>
    <hyperlink ref="L273" r:id="rId544" display="https://leetcode.com/problems/binary-search-tree-iterator/"/>
    <hyperlink ref="G274" r:id="rId545" display="Recover Binary Search Tree"/>
    <hyperlink ref="L274" r:id="rId546" display="https://leetcode.com/problems/recover-binary-search-tree/"/>
    <hyperlink ref="G275" r:id="rId547" display="Construct Binary Tree from Preorder and Inorder Traversal"/>
    <hyperlink ref="L275" r:id="rId548" display="https://leetcode.com/problems/construct-binary-tree-from-preorder-and-inorder-traversal/"/>
    <hyperlink ref="G276" r:id="rId549" display="Construct Binary Tree from Inorder and Postorder Traversal"/>
    <hyperlink ref="L276" r:id="rId550" display="https://leetcode.com/problems/construct-binary-tree-from-inorder-and-postorder-traversal/"/>
    <hyperlink ref="G277" r:id="rId551" display="Construct Binary Search Tree from Preorder Traversal"/>
    <hyperlink ref="L277" r:id="rId552" display="https://leetcode.com/problems/construct-binary-search-tree-from-preorder-traversal/"/>
    <hyperlink ref="G278" r:id="rId553" display="Maximum Binary Tree"/>
    <hyperlink ref="L278" r:id="rId554" display="https://leetcode.com/problems/maximum-binary-tree/"/>
    <hyperlink ref="G279" r:id="rId555" display="Flatten Binary Tree to Linked List"/>
    <hyperlink ref="L279" r:id="rId556" display="https://leetcode.com/problems/flatten-binary-tree-to-linked-list/"/>
    <hyperlink ref="G280" r:id="rId557" display="Serialize and Deserialize BST"/>
    <hyperlink ref="L280" r:id="rId558" display="https://leetcode.com/problems/serialize-and-deserialize-bst/"/>
    <hyperlink ref="G281" r:id="rId559" display="Serialize and Deserialize Binary Tree"/>
    <hyperlink ref="L281" r:id="rId560" display="https://leetcode.com/problems/serialize-and-deserialize-binary-tree/"/>
    <hyperlink ref="G282" r:id="rId561" display="Kth Largest Element in a Stream"/>
    <hyperlink ref="L282" r:id="rId562" display="https://leetcode.com/problems/kth-largest-element-in-a-stream/"/>
    <hyperlink ref="G283" r:id="rId563" display="Last Stone Weight"/>
    <hyperlink ref="L283" r:id="rId564" display="https://leetcode.com/problems/last-stone-weight/"/>
    <hyperlink ref="G284" r:id="rId565" display="Kth Largest Element in an Array"/>
    <hyperlink ref="L284" r:id="rId566" display="https://leetcode.com/problems/kth-largest-element-in-an-array/"/>
    <hyperlink ref="G285" r:id="rId567" display="Top K Frequent Elements"/>
    <hyperlink ref="L285" r:id="rId568" display="https://leetcode.com/problems/top-k-frequent-elements/"/>
    <hyperlink ref="G286" r:id="rId569" display="K Closest Points to Origin"/>
    <hyperlink ref="L286" r:id="rId570" display="https://leetcode.com/problems/k-closest-points-to-origin/"/>
    <hyperlink ref="G287" r:id="rId571" display="Top K Frequent Words"/>
    <hyperlink ref="L287" r:id="rId572" display="https://leetcode.com/problems/top-k-frequent-words/"/>
    <hyperlink ref="G288" r:id="rId573" display="Find K Pairs with Smallest Sums"/>
    <hyperlink ref="L288" r:id="rId574" display="https://leetcode.com/problems/find-k-pairs-with-smallest-sums/"/>
    <hyperlink ref="G289" r:id="rId575" display="Merge k Sorted Lists"/>
    <hyperlink ref="L289" r:id="rId576" display="https://leetcode.com/problems/merge-k-sorted-lists/"/>
    <hyperlink ref="G290" r:id="rId577" display="Smallest Range Covering Elements from K Lists"/>
    <hyperlink ref="L290" r:id="rId578" display="https://leetcode.com/problems/smallest-range-covering-elements-from-k-lists/"/>
    <hyperlink ref="G291" r:id="rId579" display="Find Median from Data Stream"/>
    <hyperlink ref="L291" r:id="rId580" display="https://leetcode.com/problems/find-median-from-data-stream/"/>
    <hyperlink ref="G292" r:id="rId581" display="Sliding Window Median"/>
    <hyperlink ref="L292" r:id="rId582" display="https://leetcode.com/problems/sliding-window-median/"/>
    <hyperlink ref="G293" r:id="rId583" display="IPO"/>
    <hyperlink ref="L293" r:id="rId584" display="https://leetcode.com/problems/ipo/"/>
    <hyperlink ref="G294" r:id="rId585" display="Task Scheduler"/>
    <hyperlink ref="L294" r:id="rId586" display="https://leetcode.com/problems/task-scheduler/"/>
    <hyperlink ref="G295" r:id="rId587" display="Reorganize String"/>
    <hyperlink ref="L295" r:id="rId588" display="https://leetcode.com/problems/reorganize-string/"/>
    <hyperlink ref="G296" r:id="rId589" display="Furthest Building You Can Reach"/>
    <hyperlink ref="L296" r:id="rId590" display="https://leetcode.com/problems/furthest-building-you-can-reach/"/>
    <hyperlink ref="G297" r:id="rId591" display="Single-Threaded CPU"/>
    <hyperlink ref="L297" r:id="rId592" display="https://leetcode.com/problems/single-threaded-cpu/"/>
    <hyperlink ref="G298" r:id="rId593" display="Maximum Subsequence Score"/>
    <hyperlink ref="L298" r:id="rId594" display="https://leetcode.com/problems/maximum-subsequence-score/"/>
    <hyperlink ref="G299" r:id="rId595" display="Minimum Number of Refueling Stops"/>
    <hyperlink ref="L299" r:id="rId596" display="https://leetcode.com/problems/minimum-number-of-refueling-stops/"/>
    <hyperlink ref="G300" r:id="rId597" display="Minimum Cost to Hire K Workers"/>
    <hyperlink ref="L300" r:id="rId598" display="https://leetcode.com/problems/minimum-cost-to-hire-k-workers/"/>
    <hyperlink ref="G301" r:id="rId599" display="Fibonacci Number"/>
    <hyperlink ref="L301" r:id="rId600" display="https://leetcode.com/problems/fibonacci-number/"/>
    <hyperlink ref="G302" r:id="rId601" display="Pow(x, n)"/>
    <hyperlink ref="L302" r:id="rId602" display="https://leetcode.com/problems/powx-n/"/>
    <hyperlink ref="G303" r:id="rId603" display="K-th Symbol in Grammar"/>
    <hyperlink ref="L303" r:id="rId604" display="https://leetcode.com/problems/k-th-symbol-in-grammar/"/>
    <hyperlink ref="G304" r:id="rId605" display="Find the Winner of the Circular Game"/>
    <hyperlink ref="L304" r:id="rId606" display="https://leetcode.com/problems/find-the-winner-of-the-circular-game/"/>
    <hyperlink ref="G305" r:id="rId607" display="Different Ways to Add Parentheses"/>
    <hyperlink ref="L305" r:id="rId608" display="https://leetcode.com/problems/different-ways-to-add-parentheses/"/>
    <hyperlink ref="G306" r:id="rId609" display="Subsets"/>
    <hyperlink ref="L306" r:id="rId610" display="https://leetcode.com/problems/subsets/"/>
    <hyperlink ref="G307" r:id="rId611" display="Subsets II"/>
    <hyperlink ref="L307" r:id="rId612" display="https://leetcode.com/problems/subsets-ii/"/>
    <hyperlink ref="G308" r:id="rId613" display="Letter Case Permutation"/>
    <hyperlink ref="L308" r:id="rId614" display="https://leetcode.com/problems/letter-case-permutation/"/>
    <hyperlink ref="G309" r:id="rId615" display="Permutations"/>
    <hyperlink ref="L309" r:id="rId616" display="https://leetcode.com/problems/permutations/"/>
    <hyperlink ref="G310" r:id="rId617" display="Permutations II"/>
    <hyperlink ref="L310" r:id="rId618" display="https://leetcode.com/problems/permutations-ii/"/>
    <hyperlink ref="G311" r:id="rId619" display="Permutation Sequence"/>
    <hyperlink ref="L311" r:id="rId620" display="https://leetcode.com/problems/permutation-sequence/"/>
    <hyperlink ref="G312" r:id="rId621" display="Combinations"/>
    <hyperlink ref="L312" r:id="rId622" display="https://leetcode.com/problems/combinations/"/>
    <hyperlink ref="G313" r:id="rId623" display="Combination Sum"/>
    <hyperlink ref="L313" r:id="rId624" display="https://leetcode.com/problems/combination-sum/"/>
    <hyperlink ref="G314" r:id="rId625" display="Combination Sum II"/>
    <hyperlink ref="L314" r:id="rId626" display="https://leetcode.com/problems/combination-sum-ii/"/>
    <hyperlink ref="G315" r:id="rId627" display="Combination Sum III"/>
    <hyperlink ref="L315" r:id="rId628" display="https://leetcode.com/problems/combination-sum-iii/"/>
    <hyperlink ref="G316" r:id="rId629" display="Letter Combinations of a Phone Number"/>
    <hyperlink ref="L316" r:id="rId630" display="https://leetcode.com/problems/letter-combinations-of-a-phone-number/"/>
    <hyperlink ref="G317" r:id="rId631" display="Palindrome Partitioning"/>
    <hyperlink ref="L317" r:id="rId632" display="https://leetcode.com/problems/palindrome-partitioning/"/>
    <hyperlink ref="G318" r:id="rId633" display="Restore IP Addresses"/>
    <hyperlink ref="L318" r:id="rId634" display="https://leetcode.com/problems/restore-ip-addresses/"/>
    <hyperlink ref="G319" r:id="rId635" display="Partition to K Equal Sum Subsets"/>
    <hyperlink ref="L319" r:id="rId636" display="https://leetcode.com/problems/partition-to-k-equal-sum-subsets/"/>
    <hyperlink ref="G320" r:id="rId637" display="Expression Add Operators"/>
    <hyperlink ref="L320" r:id="rId638" display="https://leetcode.com/problems/expression-add-operators/"/>
    <hyperlink ref="G321" r:id="rId639" display="Generate Parentheses"/>
    <hyperlink ref="L321" r:id="rId640" display="https://leetcode.com/problems/generate-parentheses/"/>
    <hyperlink ref="G322" r:id="rId641" display="Gray Code"/>
    <hyperlink ref="L322" r:id="rId642" display="https://leetcode.com/problems/gray-code/"/>
    <hyperlink ref="G323" r:id="rId643" display="Remove Invalid Parentheses"/>
    <hyperlink ref="L323" r:id="rId644" display="https://leetcode.com/problems/remove-invalid-parentheses/"/>
    <hyperlink ref="G324" r:id="rId645" display="Word Search"/>
    <hyperlink ref="L324" r:id="rId646" display="https://leetcode.com/problems/word-search/"/>
    <hyperlink ref="G325" r:id="rId647" display="N-Queens"/>
    <hyperlink ref="L325" r:id="rId648" display="https://leetcode.com/problems/n-queens/"/>
    <hyperlink ref="G326" r:id="rId649" display="N-Queens II"/>
    <hyperlink ref="L326" r:id="rId650" display="https://leetcode.com/problems/n-queens-ii/"/>
    <hyperlink ref="G327" r:id="rId651" display="Sudoku Solver"/>
    <hyperlink ref="L327" r:id="rId652" display="https://leetcode.com/problems/sudoku-solver/"/>
    <hyperlink ref="G328" r:id="rId653" display="Implement Trie (Prefix Tree)"/>
    <hyperlink ref="L328" r:id="rId654" display="https://leetcode.com/problems/implement-trie-prefix-tree/"/>
    <hyperlink ref="G329" r:id="rId655" display="Search Suggestions System"/>
    <hyperlink ref="L329" r:id="rId656" display="https://leetcode.com/problems/search-suggestions-system/"/>
    <hyperlink ref="G330" r:id="rId657" display="Replace Words"/>
    <hyperlink ref="L330" r:id="rId658" display="https://leetcode.com/problems/replace-words/"/>
    <hyperlink ref="G331" r:id="rId659" display="Longest Word in Dictionary"/>
    <hyperlink ref="L331" r:id="rId660" display="https://leetcode.com/problems/longest-word-in-dictionary/"/>
    <hyperlink ref="G332" r:id="rId661" display="Design Add and Search Words Data Structure"/>
    <hyperlink ref="L332" r:id="rId662" display="https://leetcode.com/problems/design-add-and-search-words-data-structure/"/>
    <hyperlink ref="G333" r:id="rId663" display="Implement Magic Dictionary"/>
    <hyperlink ref="L333" r:id="rId664" display="https://leetcode.com/problems/implement-magic-dictionary/"/>
    <hyperlink ref="G334" r:id="rId665" display="Word Search II"/>
    <hyperlink ref="L334" r:id="rId666" display="https://leetcode.com/problems/word-search-ii/"/>
    <hyperlink ref="G335" r:id="rId667" display="Concatenated Words"/>
    <hyperlink ref="L335" r:id="rId668" display="https://leetcode.com/problems/concatenated-words/"/>
    <hyperlink ref="G336" r:id="rId669" display="Maximum XOR of Two Numbers in an Array"/>
    <hyperlink ref="L336" r:id="rId670" display="https://leetcode.com/problems/maximum-xor-of-two-numbers-in-an-array/"/>
    <hyperlink ref="G337" r:id="rId671" display="Maximum XOR With an Element From Array"/>
    <hyperlink ref="L337" r:id="rId672" display="https://leetcode.com/problems/maximum-xor-with-an-element-from-array/"/>
    <hyperlink ref="G338" r:id="rId673" display="Flood Fill"/>
    <hyperlink ref="L338" r:id="rId674" display="https://leetcode.com/problems/flood-fill/"/>
    <hyperlink ref="G339" r:id="rId675" display="Island Perimeter"/>
    <hyperlink ref="L339" r:id="rId676" display="https://leetcode.com/problems/island-perimeter/"/>
    <hyperlink ref="G340" r:id="rId677" display="Number of Islands"/>
    <hyperlink ref="L340" r:id="rId678" display="https://leetcode.com/problems/number-of-islands/"/>
    <hyperlink ref="G341" r:id="rId679" display="Max Area of Island"/>
    <hyperlink ref="L341" r:id="rId680" display="https://leetcode.com/problems/max-area-of-island/"/>
    <hyperlink ref="G342" r:id="rId681" display="Number of Distinct Islands"/>
    <hyperlink ref="L342" r:id="rId682" display="https://leetcode.com/problems/number-of-distinct-islands/"/>
    <hyperlink ref="G343" r:id="rId683" display="Surrounded Regions"/>
    <hyperlink ref="L343" r:id="rId684" display="https://leetcode.com/problems/surrounded-regions/"/>
    <hyperlink ref="G344" r:id="rId685" display="Pacific Atlantic Water Flow"/>
    <hyperlink ref="L344" r:id="rId686" display="https://leetcode.com/problems/pacific-atlantic-water-flow/"/>
    <hyperlink ref="G345" r:id="rId687" display="Number of Enclaves"/>
    <hyperlink ref="L345" r:id="rId688" display="https://leetcode.com/problems/number-of-enclaves/"/>
    <hyperlink ref="G346" r:id="rId689" display="Number of Closed Islands"/>
    <hyperlink ref="L346" r:id="rId690" display="https://leetcode.com/problems/number-of-closed-islands/"/>
    <hyperlink ref="G347" r:id="rId691" display="Rotting Oranges"/>
    <hyperlink ref="L347" r:id="rId692" display="https://leetcode.com/problems/rotting-oranges/"/>
    <hyperlink ref="G348" r:id="rId693" display="01 Matrix"/>
    <hyperlink ref="L348" r:id="rId694" display="https://leetcode.com/problems/01-matrix/"/>
    <hyperlink ref="G349" r:id="rId695" display="Walls and Gates"/>
    <hyperlink ref="L349" r:id="rId696" display="https://leetcode.com/problems/walls-and-gates/"/>
    <hyperlink ref="G350" r:id="rId697" display="As Far from Land as Possible"/>
    <hyperlink ref="L350" r:id="rId698" display="https://leetcode.com/problems/as-far-from-land-as-possible/"/>
    <hyperlink ref="G351" r:id="rId699" display="Map of Highest Peak"/>
    <hyperlink ref="L351" r:id="rId700" display="https://leetcode.com/problems/map-of-highest-peak/"/>
    <hyperlink ref="G352" r:id="rId701" display="Find if Path Exists in Graph"/>
    <hyperlink ref="L352" r:id="rId702" display="https://leetcode.com/problems/find-if-path-exists-in-graph/"/>
    <hyperlink ref="G353" r:id="rId703" display="Find the Town Judge"/>
    <hyperlink ref="L353" r:id="rId704" display="https://leetcode.com/problems/find-the-town-judge/"/>
    <hyperlink ref="G354" r:id="rId705" display="Clone Graph"/>
    <hyperlink ref="L354" r:id="rId706" display="https://leetcode.com/problems/clone-graph/"/>
    <hyperlink ref="G355" r:id="rId707" display="Number of Provinces"/>
    <hyperlink ref="L355" r:id="rId708" display="https://leetcode.com/problems/number-of-provinces/"/>
    <hyperlink ref="G356" r:id="rId709" display="Keys and Rooms"/>
    <hyperlink ref="L356" r:id="rId710" display="https://leetcode.com/problems/keys-and-rooms/"/>
    <hyperlink ref="G357" r:id="rId711" display="Number of Connected Components in an Undirected Graph"/>
    <hyperlink ref="L357" r:id="rId712" display="https://leetcode.com/problems/number-of-connected-components-in-an-undirected-graph/"/>
    <hyperlink ref="G358" r:id="rId713" display="Reorder Routes to Make All Paths Lead to the City Zero"/>
    <hyperlink ref="L358" r:id="rId714" display="https://leetcode.com/problems/reorder-routes-to-make-all-paths-lead-to-the-city-zero/"/>
    <hyperlink ref="G359" r:id="rId715" display="Evaluate Division"/>
    <hyperlink ref="L359" r:id="rId716" display="https://leetcode.com/problems/evaluate-division/"/>
    <hyperlink ref="G360" r:id="rId717" display="Shortest Path in Binary Matrix"/>
    <hyperlink ref="L360" r:id="rId718" display="https://leetcode.com/problems/shortest-path-in-binary-matrix/"/>
    <hyperlink ref="G361" r:id="rId719" display="Nearest Exit from Entrance in Maze"/>
    <hyperlink ref="L361" r:id="rId720" display="https://leetcode.com/problems/nearest-exit-from-entrance-in-maze/"/>
    <hyperlink ref="G362" r:id="rId721" display="Open the Lock"/>
    <hyperlink ref="L362" r:id="rId722" display="https://leetcode.com/problems/open-the-lock/"/>
    <hyperlink ref="G363" r:id="rId723" display="Minimum Genetic Mutation"/>
    <hyperlink ref="L363" r:id="rId724" display="https://leetcode.com/problems/minimum-genetic-mutation/"/>
    <hyperlink ref="G364" r:id="rId725" display="Snakes and Ladders"/>
    <hyperlink ref="L364" r:id="rId726" display="https://leetcode.com/problems/snakes-and-ladders/"/>
    <hyperlink ref="G365" r:id="rId727" display="Word Ladder"/>
    <hyperlink ref="L365" r:id="rId728" display="https://leetcode.com/problems/word-ladder/"/>
    <hyperlink ref="G366" r:id="rId729" display="Bus Routes"/>
    <hyperlink ref="L366" r:id="rId730" display="https://leetcode.com/problems/bus-routes/"/>
    <hyperlink ref="G367" r:id="rId731" display="Graph Valid Tree"/>
    <hyperlink ref="L367" r:id="rId732" display="https://leetcode.com/problems/graph-valid-tree/"/>
    <hyperlink ref="G368" r:id="rId733" display="Find Eventual Safe States"/>
    <hyperlink ref="L368" r:id="rId734" display="https://leetcode.com/problems/find-eventual-safe-states/"/>
    <hyperlink ref="G369" r:id="rId735" display="Is Graph Bipartite?"/>
    <hyperlink ref="L369" r:id="rId736" display="https://leetcode.com/problems/is-graph-bipartite/"/>
    <hyperlink ref="G370" r:id="rId737" display="Possible Bipartition"/>
    <hyperlink ref="L370" r:id="rId738" display="https://leetcode.com/problems/possible-bipartition/"/>
    <hyperlink ref="G371" r:id="rId739" display="Course Schedule"/>
    <hyperlink ref="L371" r:id="rId740" display="https://leetcode.com/problems/course-schedule/"/>
    <hyperlink ref="G372" r:id="rId741" display="Course Schedule II"/>
    <hyperlink ref="L372" r:id="rId742" display="https://leetcode.com/problems/course-schedule-ii/"/>
    <hyperlink ref="G373" r:id="rId743" display="Minimum Height Trees"/>
    <hyperlink ref="L373" r:id="rId744" display="https://leetcode.com/problems/minimum-height-trees/"/>
    <hyperlink ref="G374" r:id="rId745" display="Find All Possible Recipes from Given Supplies"/>
    <hyperlink ref="L374" r:id="rId746" display="https://leetcode.com/problems/find-all-possible-recipes-from-given-supplies/"/>
    <hyperlink ref="G375" r:id="rId747" display="Alien Dictionary"/>
    <hyperlink ref="L375" r:id="rId748" display="https://leetcode.com/problems/alien-dictionary/"/>
    <hyperlink ref="G376" r:id="rId749" display="Redundant Connection"/>
    <hyperlink ref="L376" r:id="rId750" display="https://leetcode.com/problems/redundant-connection/"/>
    <hyperlink ref="G377" r:id="rId751" display="Accounts Merge"/>
    <hyperlink ref="L377" r:id="rId752" display="https://leetcode.com/problems/accounts-merge/"/>
    <hyperlink ref="G378" r:id="rId753" display="Number of Operations to Make Network Connected"/>
    <hyperlink ref="L378" r:id="rId754" display="https://leetcode.com/problems/number-of-operations-to-make-network-connected/"/>
    <hyperlink ref="G379" r:id="rId755" display="Satisfiability of Equality Equations"/>
    <hyperlink ref="L379" r:id="rId756" display="https://leetcode.com/problems/satisfiability-of-equality-equations/"/>
    <hyperlink ref="G380" r:id="rId757" display="Most Stones Removed with Same Row or Column"/>
    <hyperlink ref="L380" r:id="rId758" display="https://leetcode.com/problems/most-stones-removed-with-same-row-or-column/"/>
    <hyperlink ref="G381" r:id="rId759" display="Remove Max Number of Edges to Keep Graph Fully Traversable"/>
    <hyperlink ref="L381" r:id="rId760" display="https://leetcode.com/problems/remove-max-number-of-edges-to-keep-graph-fully-traversable/"/>
    <hyperlink ref="G382" r:id="rId761" display="Network Delay Time"/>
    <hyperlink ref="L382" r:id="rId762" display="https://leetcode.com/problems/network-delay-time/"/>
    <hyperlink ref="G383" r:id="rId763" display="Path with Maximum Probability"/>
    <hyperlink ref="L383" r:id="rId764" display="https://leetcode.com/problems/path-with-maximum-probability/"/>
    <hyperlink ref="G384" r:id="rId765" display="Path With Minimum Effort"/>
    <hyperlink ref="L384" r:id="rId766" display="https://leetcode.com/problems/path-with-minimum-effort/"/>
    <hyperlink ref="G385" r:id="rId767" display="Number of Ways to Arrive at Destination"/>
    <hyperlink ref="L385" r:id="rId768" display="https://leetcode.com/problems/number-of-ways-to-arrive-at-destination/"/>
    <hyperlink ref="G386" r:id="rId769" display="Swim in Rising Water"/>
    <hyperlink ref="L386" r:id="rId770" display="https://leetcode.com/problems/swim-in-rising-water/"/>
    <hyperlink ref="G387" r:id="rId771" display="Cheapest Flights Within K Stops"/>
    <hyperlink ref="L387" r:id="rId772" display="https://leetcode.com/problems/cheapest-flights-within-k-stops/"/>
    <hyperlink ref="G388" r:id="rId773" display="Minimum Obstacle Removal to Reach Corner"/>
    <hyperlink ref="L388" r:id="rId774" display="https://leetcode.com/problems/minimum-obstacle-removal-to-reach-corner/"/>
    <hyperlink ref="G389" r:id="rId775" display="Find the City With the Smallest Number of Neighbors at a Threshold Distance"/>
    <hyperlink ref="L389" r:id="rId776" display="https://leetcode.com/problems/find-the-city-with-the-smallest-number-of-neighbors-at-a-threshold-distance/"/>
    <hyperlink ref="G390" r:id="rId777" display="Min Cost to Connect All Points"/>
    <hyperlink ref="L390" r:id="rId778" display="https://leetcode.com/problems/min-cost-to-connect-all-points/"/>
    <hyperlink ref="G391" r:id="rId779" display="Find Critical and Pseudo-Critical Edges in Minimum Spanning Tree"/>
    <hyperlink ref="L391" r:id="rId780" display="https://leetcode.com/problems/find-critical-and-pseudo-critical-edges-in-minimum-spanning-tree/"/>
    <hyperlink ref="G392" r:id="rId781" display="Reconstruct Itinerary"/>
    <hyperlink ref="L392" r:id="rId782" display="https://leetcode.com/problems/reconstruct-itinerary/"/>
    <hyperlink ref="G393" r:id="rId783" display="Cracking the Safe"/>
    <hyperlink ref="L393" r:id="rId784" display="https://leetcode.com/problems/cracking-the-safe/"/>
    <hyperlink ref="G394" r:id="rId785" display="Critical Connections in a Network"/>
    <hyperlink ref="L394" r:id="rId786" display="https://leetcode.com/problems/critical-connections-in-a-network/"/>
    <hyperlink ref="G395" r:id="rId787" display="Jump Game"/>
    <hyperlink ref="L395" r:id="rId788" display="https://leetcode.com/problems/jump-game/"/>
    <hyperlink ref="G396" r:id="rId789" display="Jump Game II"/>
    <hyperlink ref="L396" r:id="rId790" display="https://leetcode.com/problems/jump-game-ii/"/>
    <hyperlink ref="G397" r:id="rId791" display="Jump Game III"/>
    <hyperlink ref="L397" r:id="rId792" display="https://leetcode.com/problems/jump-game-iii/"/>
    <hyperlink ref="G398" r:id="rId793" display="Assign Cookies"/>
    <hyperlink ref="L398" r:id="rId794" display="https://leetcode.com/problems/assign-cookies/"/>
    <hyperlink ref="G399" r:id="rId795" display="Two City Scheduling"/>
    <hyperlink ref="L399" r:id="rId796" display="https://leetcode.com/problems/two-city-scheduling/"/>
    <hyperlink ref="G400" r:id="rId797" display="Hand of Straights"/>
    <hyperlink ref="L400" r:id="rId798" display="https://leetcode.com/problems/hand-of-straights/"/>
    <hyperlink ref="G401" r:id="rId799" display="Merge Triplets to Form Target Triplet"/>
    <hyperlink ref="L401" r:id="rId800" display="https://leetcode.com/problems/merge-triplets-to-form-target-triplet/"/>
    <hyperlink ref="G402" r:id="rId801" display="Partition Labels"/>
    <hyperlink ref="L402" r:id="rId802" display="https://leetcode.com/problems/partition-labels/"/>
    <hyperlink ref="G403" r:id="rId803" display="Lemonade Change"/>
    <hyperlink ref="L403" r:id="rId804" display="https://leetcode.com/problems/lemonade-change/"/>
    <hyperlink ref="G404" r:id="rId805" display="Can Place Flowers"/>
    <hyperlink ref="L404" r:id="rId806" display="https://leetcode.com/problems/can-place-flowers/"/>
    <hyperlink ref="G405" r:id="rId807" display="Gas Station"/>
    <hyperlink ref="L405" r:id="rId808" display="https://leetcode.com/problems/gas-station/"/>
    <hyperlink ref="G406" r:id="rId809" display="Increasing Triplet Subsequence"/>
    <hyperlink ref="L406" r:id="rId810" display="https://leetcode.com/problems/increasing-triplet-subsequence/"/>
    <hyperlink ref="G407" r:id="rId811" display="Valid Parenthesis String"/>
    <hyperlink ref="L407" r:id="rId812" display="https://leetcode.com/problems/valid-parenthesis-string/"/>
    <hyperlink ref="G408" r:id="rId813" display="Candy"/>
    <hyperlink ref="L408" r:id="rId814" display="https://leetcode.com/problems/candy/"/>
    <hyperlink ref="G409" r:id="rId815" display="Patching Array"/>
    <hyperlink ref="L409" r:id="rId816" display="https://leetcode.com/problems/patching-array/"/>
    <hyperlink ref="G410" r:id="rId817" display="Single Number"/>
    <hyperlink ref="L410" r:id="rId818" display="https://leetcode.com/problems/single-number/"/>
    <hyperlink ref="G411" r:id="rId819" display="Missing Number"/>
    <hyperlink ref="L411" r:id="rId820" display="https://leetcode.com/problems/missing-number/"/>
    <hyperlink ref="G412" r:id="rId821" display="Single Number II"/>
    <hyperlink ref="L412" r:id="rId822" display="https://leetcode.com/problems/single-number-ii/"/>
    <hyperlink ref="G413" r:id="rId823" display="Single Number III"/>
    <hyperlink ref="L413" r:id="rId824" display="https://leetcode.com/problems/single-number-iii/"/>
    <hyperlink ref="G414" r:id="rId825" display="XOR Queries of a Subarray"/>
    <hyperlink ref="L414" r:id="rId826" display="https://leetcode.com/problems/xor-queries-of-a-subarray/"/>
    <hyperlink ref="G415" r:id="rId827" display="Number of 1 Bits"/>
    <hyperlink ref="L415" r:id="rId828" display="https://leetcode.com/problems/number-of-1-bits/"/>
    <hyperlink ref="G416" r:id="rId829" display="Counting Bits"/>
    <hyperlink ref="L416" r:id="rId830" display="https://leetcode.com/problems/counting-bits/"/>
    <hyperlink ref="G417" r:id="rId831" display="Reverse Bits"/>
    <hyperlink ref="L417" r:id="rId832" display="https://leetcode.com/problems/reverse-bits/"/>
    <hyperlink ref="G418" r:id="rId833" display="Power of Two"/>
    <hyperlink ref="L418" r:id="rId834" display="https://leetcode.com/problems/power-of-two/"/>
    <hyperlink ref="G419" r:id="rId835" display="Hamming Distance"/>
    <hyperlink ref="L419" r:id="rId836" display="https://leetcode.com/problems/hamming-distance/"/>
    <hyperlink ref="G420" r:id="rId837" display="Minimum Flips to Make a OR b Equal to c"/>
    <hyperlink ref="L420" r:id="rId838" display="https://leetcode.com/problems/minimum-flips-to-make-a-or-b-equal-to-c/"/>
    <hyperlink ref="G421" r:id="rId839" display="Sum of Two Integers"/>
    <hyperlink ref="L421" r:id="rId840" display="https://leetcode.com/problems/sum-of-two-integers/"/>
    <hyperlink ref="G422" r:id="rId841" display="Reverse Integer"/>
    <hyperlink ref="L422" r:id="rId842" display="https://leetcode.com/problems/reverse-integer/"/>
    <hyperlink ref="G423" r:id="rId843" display="Divide Two Integers"/>
    <hyperlink ref="L423" r:id="rId844" display="https://leetcode.com/problems/divide-two-integers/"/>
    <hyperlink ref="G424" r:id="rId845" display="Bitwise AND of Numbers Range"/>
    <hyperlink ref="L424" r:id="rId846" display="https://leetcode.com/problems/bitwise-and-of-numbers-range/"/>
    <hyperlink ref="G425" r:id="rId847" display="Climbing Stairs"/>
    <hyperlink ref="L425" r:id="rId848" display="https://leetcode.com/problems/climbing-stairs/"/>
    <hyperlink ref="G426" r:id="rId849" display="Min Cost Climbing Stairs"/>
    <hyperlink ref="L426" r:id="rId850" display="https://leetcode.com/problems/min-cost-climbing-stairs/"/>
    <hyperlink ref="G427" r:id="rId851" display="N-th Tribonacci Number"/>
    <hyperlink ref="L427" r:id="rId852" display="https://leetcode.com/problems/n-th-tribonacci-number/"/>
    <hyperlink ref="G428" r:id="rId853" display="House Robber"/>
    <hyperlink ref="L428" r:id="rId854" display="https://leetcode.com/problems/house-robber/"/>
    <hyperlink ref="G429" r:id="rId855" display="House Robber II"/>
    <hyperlink ref="L429" r:id="rId856" display="https://leetcode.com/problems/house-robber-ii/"/>
    <hyperlink ref="G430" r:id="rId857" display="Delete and Earn"/>
    <hyperlink ref="L430" r:id="rId858" display="https://leetcode.com/problems/delete-and-earn/"/>
    <hyperlink ref="G431" r:id="rId859" display="Domino and Tromino Tiling"/>
    <hyperlink ref="L431" r:id="rId860" display="https://leetcode.com/problems/domino-and-tromino-tiling/"/>
    <hyperlink ref="G432" r:id="rId861" display="Solving Questions With Brainpower"/>
    <hyperlink ref="L432" r:id="rId862" display="https://leetcode.com/problems/solving-questions-with-brainpower/"/>
    <hyperlink ref="G433" r:id="rId863" display="Decode Ways"/>
    <hyperlink ref="L433" r:id="rId864" display="https://leetcode.com/problems/decode-ways/"/>
    <hyperlink ref="G434" r:id="rId865" display="Word Break"/>
    <hyperlink ref="L434" r:id="rId866" display="https://leetcode.com/problems/word-break/"/>
    <hyperlink ref="G435" r:id="rId867" display="Combination Sum IV"/>
    <hyperlink ref="L435" r:id="rId868" display="https://leetcode.com/problems/combination-sum-iv/"/>
    <hyperlink ref="G436" r:id="rId869" display="Word Break II"/>
    <hyperlink ref="L436" r:id="rId870" display="https://leetcode.com/problems/word-break-ii/"/>
    <hyperlink ref="G437" r:id="rId871" display="Unique Paths"/>
    <hyperlink ref="L437" r:id="rId872" display="https://leetcode.com/problems/unique-paths/"/>
    <hyperlink ref="G438" r:id="rId873" display="Unique Paths II"/>
    <hyperlink ref="L438" r:id="rId874" display="https://leetcode.com/problems/unique-paths-ii/"/>
    <hyperlink ref="G439" r:id="rId875" display="Minimum Path Sum"/>
    <hyperlink ref="L439" r:id="rId876" display="https://leetcode.com/problems/minimum-path-sum/"/>
    <hyperlink ref="G440" r:id="rId877" display="Triangle"/>
    <hyperlink ref="L440" r:id="rId878" display="https://leetcode.com/problems/triangle/"/>
    <hyperlink ref="G441" r:id="rId879" display="Minimum Falling Path Sum"/>
    <hyperlink ref="L441" r:id="rId880" display="https://leetcode.com/problems/minimum-falling-path-sum/"/>
    <hyperlink ref="G442" r:id="rId881" display="Maximal Square"/>
    <hyperlink ref="L442" r:id="rId882" display="https://leetcode.com/problems/maximal-square/"/>
    <hyperlink ref="G443" r:id="rId883" display="Dungeon Game"/>
    <hyperlink ref="L443" r:id="rId884" display="https://leetcode.com/problems/dungeon-game/"/>
    <hyperlink ref="G444" r:id="rId885" display="Cherry Pickup II"/>
    <hyperlink ref="L444" r:id="rId886" display="https://leetcode.com/problems/cherry-pickup-ii/"/>
    <hyperlink ref="G445" r:id="rId887" display="Cherry Pickup"/>
    <hyperlink ref="L445" r:id="rId888" display="https://leetcode.com/problems/cherry-pickup/"/>
    <hyperlink ref="G446" r:id="rId889" display="Out of Boundary Paths"/>
    <hyperlink ref="L446" r:id="rId890" display="https://leetcode.com/problems/out-of-boundary-paths/"/>
    <hyperlink ref="G447" r:id="rId891" display="Knight Probability in Chessboard"/>
    <hyperlink ref="L447" r:id="rId892" display="https://leetcode.com/problems/knight-probability-in-chessboard/"/>
    <hyperlink ref="G448" r:id="rId893" display="Longest Increasing Path in a Matrix"/>
    <hyperlink ref="L448" r:id="rId894" display="https://leetcode.com/problems/longest-increasing-path-in-a-matrix/"/>
    <hyperlink ref="G449" r:id="rId895" display="Partition Equal Subset Sum"/>
    <hyperlink ref="L449" r:id="rId896" display="https://leetcode.com/problems/partition-equal-subset-sum/"/>
    <hyperlink ref="G450" r:id="rId897" display="Target Sum"/>
    <hyperlink ref="L450" r:id="rId898" display="https://leetcode.com/problems/target-sum/"/>
    <hyperlink ref="G451" r:id="rId899" display="Last Stone Weight II"/>
    <hyperlink ref="L451" r:id="rId900" display="https://leetcode.com/problems/last-stone-weight-ii/"/>
    <hyperlink ref="G452" r:id="rId901" display="Ones and Zeroes"/>
    <hyperlink ref="L452" r:id="rId902" display="https://leetcode.com/problems/ones-and-zeroes/"/>
    <hyperlink ref="G453" r:id="rId903" display="Partition Array Into Two Arrays to Minimize Sum Difference"/>
    <hyperlink ref="L453" r:id="rId904" display="https://leetcode.com/problems/partition-array-into-two-arrays-to-minimize-sum-difference/"/>
    <hyperlink ref="G454" r:id="rId905" display="Coin Change"/>
    <hyperlink ref="L454" r:id="rId906" display="https://leetcode.com/problems/coin-change/"/>
    <hyperlink ref="G455" r:id="rId907" display="Coin Change II"/>
    <hyperlink ref="L455" r:id="rId908" display="https://leetcode.com/problems/coin-change-ii/"/>
    <hyperlink ref="G456" r:id="rId909" display="Perfect Squares"/>
    <hyperlink ref="L456" r:id="rId910" display="https://leetcode.com/problems/perfect-squares/"/>
    <hyperlink ref="G457" r:id="rId911" display="Minimum Cost For Tickets"/>
    <hyperlink ref="L457" r:id="rId912" display="https://leetcode.com/problems/minimum-cost-for-tickets/"/>
    <hyperlink ref="G458" r:id="rId913" display="Longest Increasing Subsequence"/>
    <hyperlink ref="L458" r:id="rId914" display="https://leetcode.com/problems/longest-increasing-subsequence/"/>
    <hyperlink ref="G459" r:id="rId915" display="Number of Longest Increasing Subsequence"/>
    <hyperlink ref="L459" r:id="rId916" display="https://leetcode.com/problems/number-of-longest-increasing-subsequence/"/>
    <hyperlink ref="G460" r:id="rId917" display="Largest Divisible Subset"/>
    <hyperlink ref="L460" r:id="rId918" display="https://leetcode.com/problems/largest-divisible-subset/"/>
    <hyperlink ref="G461" r:id="rId919" display="Maximum Length of Pair Chain"/>
    <hyperlink ref="L461" r:id="rId920" display="https://leetcode.com/problems/maximum-length-of-pair-chain/"/>
    <hyperlink ref="G462" r:id="rId921" display="Russian Doll Envelopes"/>
    <hyperlink ref="L462" r:id="rId922" display="https://leetcode.com/problems/russian-doll-envelopes/"/>
    <hyperlink ref="G463" r:id="rId923" display="Longest Common Subsequence"/>
    <hyperlink ref="L463" r:id="rId924" display="https://leetcode.com/problems/longest-common-subsequence/"/>
    <hyperlink ref="G464" r:id="rId925" display="Delete Operation for Two Strings"/>
    <hyperlink ref="L464" r:id="rId926" display="https://leetcode.com/problems/delete-operation-for-two-strings/"/>
    <hyperlink ref="G465" r:id="rId927" display="Minimum ASCII Delete Sum for Two Strings"/>
    <hyperlink ref="L465" r:id="rId928" display="https://leetcode.com/problems/minimum-ascii-delete-sum-for-two-strings/"/>
    <hyperlink ref="G466" r:id="rId929" display="Edit Distance"/>
    <hyperlink ref="L466" r:id="rId930" display="https://leetcode.com/problems/edit-distance/"/>
    <hyperlink ref="G467" r:id="rId931" display="Interleaving String"/>
    <hyperlink ref="L467" r:id="rId932" display="https://leetcode.com/problems/interleaving-string/"/>
    <hyperlink ref="G468" r:id="rId933" display="Distinct Subsequences"/>
    <hyperlink ref="L468" r:id="rId934" display="https://leetcode.com/problems/distinct-subsequences/"/>
    <hyperlink ref="G469" r:id="rId935" display="Shortest Common Supersequence"/>
    <hyperlink ref="L469" r:id="rId936" display="https://leetcode.com/problems/shortest-common-supersequence/"/>
    <hyperlink ref="G470" r:id="rId937" display="Regular Expression Matching"/>
    <hyperlink ref="L470" r:id="rId938" display="https://leetcode.com/problems/regular-expression-matching/"/>
    <hyperlink ref="G471" r:id="rId939" display="Wildcard Matching"/>
    <hyperlink ref="L471" r:id="rId940" display="https://leetcode.com/problems/wildcard-matching/"/>
    <hyperlink ref="G472" r:id="rId941" display="Longest Palindromic Subsequence"/>
    <hyperlink ref="L472" r:id="rId942" display="https://leetcode.com/problems/longest-palindromic-subsequence/"/>
    <hyperlink ref="G473" r:id="rId943" display="Palindrome Partitioning II"/>
    <hyperlink ref="L473" r:id="rId944" display="https://leetcode.com/problems/palindrome-partitioning-ii/"/>
    <hyperlink ref="G474" r:id="rId945" display="Minimum Insertion Steps to Make a String Palindrome"/>
    <hyperlink ref="L474" r:id="rId946" display="https://leetcode.com/problems/minimum-insertion-steps-to-make-a-string-palindrome/"/>
    <hyperlink ref="G475" r:id="rId947" display="Partition Array for Maximum Sum"/>
    <hyperlink ref="L475" r:id="rId948" display="https://leetcode.com/problems/partition-array-for-maximum-sum/"/>
    <hyperlink ref="G476" r:id="rId949" display="Minimum Score Triangulation of Polygon"/>
    <hyperlink ref="L476" r:id="rId950" display="https://leetcode.com/problems/minimum-score-triangulation-of-polygon/"/>
    <hyperlink ref="G477" r:id="rId951" display="Guess Number Higher or Lower II"/>
    <hyperlink ref="L477" r:id="rId952" display="https://leetcode.com/problems/guess-number-higher-or-lower-ii/"/>
    <hyperlink ref="G478" r:id="rId953" display="Burst Balloons"/>
    <hyperlink ref="L478" r:id="rId954" display="https://leetcode.com/problems/burst-balloons/"/>
    <hyperlink ref="G479" r:id="rId955" display="Minimum Cost to Cut a Stick"/>
    <hyperlink ref="L479" r:id="rId956" display="https://leetcode.com/problems/minimum-cost-to-cut-a-stick/"/>
    <hyperlink ref="G480" r:id="rId957" display="Predict the Winner"/>
    <hyperlink ref="L480" r:id="rId958" display="https://leetcode.com/problems/predict-the-winner/"/>
    <hyperlink ref="G481" r:id="rId959" display="Stone Game"/>
    <hyperlink ref="L481" r:id="rId960" display="https://leetcode.com/problems/stone-game/"/>
    <hyperlink ref="G482" r:id="rId961" display="Best Time to Buy and Sell Stock II"/>
    <hyperlink ref="L482" r:id="rId962" display="https://leetcode.com/problems/best-time-to-buy-and-sell-stock-ii/"/>
    <hyperlink ref="G483" r:id="rId963" display="Best Time to Buy and Sell Stock with Cooldown"/>
    <hyperlink ref="L483" r:id="rId964" display="https://leetcode.com/problems/best-time-to-buy-and-sell-stock-with-cooldown/"/>
    <hyperlink ref="G484" r:id="rId965" display="Best Time to Buy and Sell Stock with Transaction Fee"/>
    <hyperlink ref="L484" r:id="rId966" display="https://leetcode.com/problems/best-time-to-buy-and-sell-stock-with-transaction-fee/"/>
    <hyperlink ref="G485" r:id="rId967" display="Best Time to Buy and Sell Stock III"/>
    <hyperlink ref="L485" r:id="rId968" display="https://leetcode.com/problems/best-time-to-buy-and-sell-stock-iii/"/>
    <hyperlink ref="G486" r:id="rId969" display="Best Time to Buy and Sell Stock IV"/>
    <hyperlink ref="L486" r:id="rId970" display="https://leetcode.com/problems/best-time-to-buy-and-sell-stock-iv/"/>
    <hyperlink ref="G487" r:id="rId971" display="Unique Binary Search Trees"/>
    <hyperlink ref="L487" r:id="rId972" display="https://leetcode.com/problems/unique-binary-search-trees/"/>
    <hyperlink ref="G488" r:id="rId973" display="Unique Binary Search Trees II"/>
    <hyperlink ref="L488" r:id="rId974" display="https://leetcode.com/problems/unique-binary-search-trees-ii/"/>
    <hyperlink ref="G489" r:id="rId975" display="House Robber III"/>
    <hyperlink ref="L489" r:id="rId976" display="https://leetcode.com/problems/house-robber-iii/"/>
    <hyperlink ref="G490" r:id="rId977" display="Binary Tree Cameras"/>
    <hyperlink ref="L490" r:id="rId978" display="https://leetcode.com/problems/binary-tree-cameras/"/>
    <hyperlink ref="G491" r:id="rId979" display="Beautiful Arrangement"/>
    <hyperlink ref="L491" r:id="rId980" display="https://leetcode.com/problems/beautiful-arrangement/"/>
    <hyperlink ref="G492" r:id="rId981" display="Minimum Number of Work Sessions to Finish the Tasks"/>
    <hyperlink ref="L492" r:id="rId982" display="https://leetcode.com/problems/minimum-number-of-work-sessions-to-finish-the-tasks/"/>
    <hyperlink ref="G493" r:id="rId983" display="Shortest Path Visiting All Nodes"/>
    <hyperlink ref="L493" r:id="rId984" display="https://leetcode.com/problems/shortest-path-visiting-all-nodes/"/>
    <hyperlink ref="G494" r:id="rId985" display="Number of Digit One"/>
    <hyperlink ref="L494" r:id="rId986" display="https://leetcode.com/problems/number-of-digit-one/"/>
    <hyperlink ref="G495" r:id="rId987" display="Numbers At Most N Given Digit Set"/>
    <hyperlink ref="L495" r:id="rId988" display="https://leetcode.com/problems/numbers-at-most-n-given-digit-set/"/>
    <hyperlink ref="G496" r:id="rId989" display="Sort an Array"/>
    <hyperlink ref="L496" r:id="rId990" display="https://leetcode.com/problems/sort-an-array/"/>
    <hyperlink ref="G497" r:id="rId991" display="Sort List"/>
    <hyperlink ref="L497" r:id="rId992" display="https://leetcode.com/problems/sort-list/"/>
    <hyperlink ref="G498" r:id="rId993" display="Reverse Pairs"/>
    <hyperlink ref="L498" r:id="rId994" display="https://leetcode.com/problems/reverse-pairs/"/>
    <hyperlink ref="G499" r:id="rId995" display="Count of Smaller Numbers After Self"/>
    <hyperlink ref="L499" r:id="rId996" display="https://leetcode.com/problems/count-of-smaller-numbers-after-self/"/>
    <hyperlink ref="G500" r:id="rId997" display="Wiggle Sort II"/>
    <hyperlink ref="L500" r:id="rId998" display="https://leetcode.com/problems/wiggle-sort-ii/"/>
    <hyperlink ref="G501" r:id="rId999" display="Sort Array by Increasing Frequency"/>
    <hyperlink ref="L501" r:id="rId1000" display="https://leetcode.com/problems/sort-array-by-increasing-frequency/"/>
    <hyperlink ref="G502" r:id="rId1001" display="Largest Number"/>
    <hyperlink ref="L502" r:id="rId1002" display="https://leetcode.com/problems/largest-number/"/>
    <hyperlink ref="G503" r:id="rId1003" display="Reorder Data in Log Files"/>
    <hyperlink ref="L503" r:id="rId1004" display="https://leetcode.com/problems/reorder-data-in-log-files/"/>
    <hyperlink ref="G504" r:id="rId1005" display="Relative Sort Array"/>
    <hyperlink ref="L504" r:id="rId1006" display="https://leetcode.com/problems/relative-sort-array/"/>
    <hyperlink ref="G505" r:id="rId1007" display="H-Index"/>
    <hyperlink ref="L505" r:id="rId1008" display="https://leetcode.com/problems/h-index/"/>
    <hyperlink ref="G506" r:id="rId1009" display="Maximum Gap"/>
    <hyperlink ref="L506" r:id="rId1010" display="https://leetcode.com/problems/maximum-gap/"/>
    <hyperlink ref="G507" r:id="rId1011" display="Contains Duplicate III"/>
    <hyperlink ref="L507" r:id="rId1012" display="https://leetcode.com/problems/contains-duplicate-iii/"/>
    <hyperlink ref="G508" r:id="rId1013" display="Plus One"/>
    <hyperlink ref="L508" r:id="rId1014" display="https://leetcode.com/problems/plus-one/"/>
    <hyperlink ref="G509" r:id="rId1015" display="Greatest Common Divisor of Strings"/>
    <hyperlink ref="L509" r:id="rId1016" display="https://leetcode.com/problems/greatest-common-divisor-of-strings/"/>
    <hyperlink ref="G510" r:id="rId1017" display="Find Greatest Common Divisor of Array"/>
    <hyperlink ref="L510" r:id="rId1018" display="https://leetcode.com/problems/find-greatest-common-divisor-of-array/"/>
    <hyperlink ref="G511" r:id="rId1019" display="Count Primes"/>
    <hyperlink ref="L511" r:id="rId1020" display="https://leetcode.com/problems/count-primes/"/>
    <hyperlink ref="G512" r:id="rId1021" display="Factorial Trailing Zeroes"/>
    <hyperlink ref="L512" r:id="rId1022" display="https://leetcode.com/problems/factorial-trailing-zeroes/"/>
    <hyperlink ref="G513" r:id="rId1023" display="Shuffle an Array"/>
    <hyperlink ref="L513" r:id="rId1024" display="https://leetcode.com/problems/shuffle-an-array/"/>
    <hyperlink ref="G514" r:id="rId1025" display="Random Pick with Weight"/>
    <hyperlink ref="L514" r:id="rId1026" display="https://leetcode.com/problems/random-pick-with-weight/"/>
    <hyperlink ref="G515" r:id="rId1027" display="Linked List Random Node"/>
    <hyperlink ref="L515" r:id="rId1028" display="https://leetcode.com/problems/linked-list-random-node/"/>
    <hyperlink ref="G516" r:id="rId1029" display="Implement Rand10() Using Rand7()"/>
    <hyperlink ref="L516" r:id="rId1030" display="https://leetcode.com/problems/implement-rand10-using-rand7/"/>
    <hyperlink ref="G517" r:id="rId1031" display="Rectangle Overlap"/>
    <hyperlink ref="L517" r:id="rId1032" display="https://leetcode.com/problems/rectangle-overlap/"/>
    <hyperlink ref="G518" r:id="rId1033" display="Rectangle Area"/>
    <hyperlink ref="L518" r:id="rId1034" display="https://leetcode.com/problems/rectangle-area/"/>
    <hyperlink ref="G519" r:id="rId1035" display="Detect Squares"/>
    <hyperlink ref="L519" r:id="rId1036" display="https://leetcode.com/problems/detect-squares/"/>
    <hyperlink ref="G520" r:id="rId1037" display="Max Points on a Line"/>
    <hyperlink ref="L520" r:id="rId1038" display="https://leetcode.com/problems/max-points-on-a-line/"/>
    <hyperlink ref="G521" r:id="rId1039" display="LRU Cache"/>
    <hyperlink ref="L521" r:id="rId1040" display="https://leetcode.com/problems/lru-cache/"/>
    <hyperlink ref="G522" r:id="rId1041" display="LFU Cache"/>
    <hyperlink ref="L522" r:id="rId1042" display="https://leetcode.com/problems/lfu-cache/"/>
    <hyperlink ref="G523" r:id="rId1043" display="Design HashSet"/>
    <hyperlink ref="L523" r:id="rId1044" display="https://leetcode.com/problems/design-hashset/"/>
    <hyperlink ref="G524" r:id="rId1045" display="Design HashMap"/>
    <hyperlink ref="L524" r:id="rId1046" display="https://leetcode.com/problems/design-hashmap/"/>
    <hyperlink ref="G525" r:id="rId1047" display="Insert Delete GetRandom O(1)"/>
    <hyperlink ref="L525" r:id="rId1048" display="https://leetcode.com/problems/insert-delete-getrandom-o1/"/>
    <hyperlink ref="G526" r:id="rId1049" display="All O`one Data Structure"/>
    <hyperlink ref="L526" r:id="rId1050" display="https://leetcode.com/problems/all-oone-data-structure/"/>
    <hyperlink ref="G527" r:id="rId1051" display="Design Twitter"/>
    <hyperlink ref="L527" r:id="rId1052" display="https://leetcode.com/problems/design-twitter/"/>
    <hyperlink ref="G528" r:id="rId1053" display="Design Underground System"/>
    <hyperlink ref="L528" r:id="rId1054" display="https://leetcode.com/problems/design-underground-system/"/>
    <hyperlink ref="G529" r:id="rId1055" display="Design a Food Rating System"/>
    <hyperlink ref="L529" r:id="rId1056" display="https://leetcode.com/problems/design-a-food-rating-system/"/>
    <hyperlink ref="G530" r:id="rId1057" display="Product of the Last K Numbers"/>
    <hyperlink ref="L530" r:id="rId1058" display="https://leetcode.com/problems/product-of-the-last-k-numbers/"/>
    <hyperlink ref="G531" r:id="rId1059" display="Design Hit Counter"/>
    <hyperlink ref="L531" r:id="rId1060" display="https://leetcode.com/problems/design-hit-counter/"/>
    <hyperlink ref="G532" r:id="rId1061" display="Peeking Iterator"/>
    <hyperlink ref="L532" r:id="rId1062" display="https://leetcode.com/problems/peeking-iterator/"/>
    <hyperlink ref="G533" r:id="rId1063" display="Flatten Nested List Iterator"/>
    <hyperlink ref="L533" r:id="rId1064" display="https://leetcode.com/problems/flatten-nested-list-iterator/"/>
    <hyperlink ref="G534" r:id="rId1065" display="Design Skiplist"/>
    <hyperlink ref="L534" r:id="rId1066" display="https://leetcode.com/problems/design-skiplist/"/>
    <hyperlink ref="G535" r:id="rId1067" display="Range Sum Query - Mutable"/>
    <hyperlink ref="L535" r:id="rId1068" display="https://leetcode.com/problems/range-sum-query-mutable/"/>
    <hyperlink ref="G536" r:id="rId1069" display="Falling Squares"/>
    <hyperlink ref="L536" r:id="rId1070" display="https://leetcode.com/problems/falling-squares/"/>
    <hyperlink ref="G537" r:id="rId1071" display="Range Module"/>
    <hyperlink ref="L537" r:id="rId1072" display="https://leetcode.com/problems/range-module/"/>
    <hyperlink ref="G538" r:id="rId1073" display="Create Sorted Array through Instructions"/>
    <hyperlink ref="L538" r:id="rId1074" display="https://leetcode.com/problems/create-sorted-array-through-instructions/"/>
    <hyperlink ref="G539" r:id="rId1075" display="Count of Range Sum"/>
    <hyperlink ref="L539" r:id="rId1076" display="https://leetcode.com/problems/count-of-range-sum/"/>
    <hyperlink ref="G540" r:id="rId1077" display="Stock Price Fluctuation"/>
    <hyperlink ref="L540" r:id="rId1078" display="https://leetcode.com/problems/stock-price-fluctuation/"/>
    <hyperlink ref="G541" r:id="rId1079" display="Data Stream as Disjoint Intervals"/>
    <hyperlink ref="L541" r:id="rId1080" display="https://leetcode.com/problems/data-stream-as-disjoint-interval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8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31.5" hidden="false" customHeight="true" outlineLevel="0" collapsed="false">
      <c r="A1" s="177" t="s">
        <v>1734</v>
      </c>
      <c r="B1" s="177"/>
    </row>
    <row r="3" customFormat="false" ht="21.75" hidden="false" customHeight="true" outlineLevel="0" collapsed="false">
      <c r="A3" s="178" t="s">
        <v>1735</v>
      </c>
    </row>
    <row r="4" customFormat="false" ht="15" hidden="false" customHeight="false" outlineLevel="0" collapsed="false">
      <c r="A4" s="179" t="s">
        <v>1736</v>
      </c>
      <c r="B4" s="51" t="s">
        <v>1737</v>
      </c>
    </row>
    <row r="5" customFormat="false" ht="23.85" hidden="false" customHeight="false" outlineLevel="0" collapsed="false">
      <c r="A5" s="179" t="s">
        <v>1738</v>
      </c>
      <c r="B5" s="51" t="s">
        <v>1739</v>
      </c>
    </row>
    <row r="6" customFormat="false" ht="15" hidden="false" customHeight="false" outlineLevel="0" collapsed="false">
      <c r="A6" s="179" t="s">
        <v>1740</v>
      </c>
      <c r="B6" s="51" t="s">
        <v>1741</v>
      </c>
    </row>
    <row r="7" customFormat="false" ht="21.75" hidden="false" customHeight="true" outlineLevel="0" collapsed="false">
      <c r="A7" s="178" t="s">
        <v>1742</v>
      </c>
    </row>
    <row r="8" customFormat="false" ht="15" hidden="false" customHeight="false" outlineLevel="0" collapsed="false">
      <c r="A8" s="180" t="s">
        <v>642</v>
      </c>
      <c r="B8" s="51" t="s">
        <v>1743</v>
      </c>
    </row>
    <row r="9" customFormat="false" ht="15" hidden="false" customHeight="false" outlineLevel="0" collapsed="false">
      <c r="A9" s="180" t="s">
        <v>643</v>
      </c>
      <c r="B9" s="51" t="s">
        <v>1744</v>
      </c>
    </row>
    <row r="10" customFormat="false" ht="15" hidden="false" customHeight="false" outlineLevel="0" collapsed="false">
      <c r="A10" s="180" t="s">
        <v>644</v>
      </c>
      <c r="B10" s="51" t="s">
        <v>1745</v>
      </c>
    </row>
    <row r="11" customFormat="false" ht="15" hidden="false" customHeight="false" outlineLevel="0" collapsed="false">
      <c r="A11" s="180" t="s">
        <v>646</v>
      </c>
      <c r="B11" s="51" t="s">
        <v>1746</v>
      </c>
    </row>
    <row r="12" customFormat="false" ht="15" hidden="false" customHeight="false" outlineLevel="0" collapsed="false">
      <c r="A12" s="180" t="s">
        <v>647</v>
      </c>
      <c r="B12" s="51" t="s">
        <v>1747</v>
      </c>
    </row>
    <row r="13" customFormat="false" ht="21.75" hidden="false" customHeight="true" outlineLevel="0" collapsed="false">
      <c r="A13" s="178" t="s">
        <v>1748</v>
      </c>
    </row>
    <row r="14" customFormat="false" ht="15" hidden="false" customHeight="false" outlineLevel="0" collapsed="false">
      <c r="A14" s="181" t="s">
        <v>7</v>
      </c>
      <c r="B14" s="51" t="s">
        <v>1749</v>
      </c>
    </row>
    <row r="15" customFormat="false" ht="15" hidden="false" customHeight="false" outlineLevel="0" collapsed="false">
      <c r="A15" s="182" t="s">
        <v>9</v>
      </c>
      <c r="B15" s="51" t="s">
        <v>1749</v>
      </c>
    </row>
    <row r="16" customFormat="false" ht="15" hidden="false" customHeight="false" outlineLevel="0" collapsed="false">
      <c r="A16" s="183" t="s">
        <v>11</v>
      </c>
      <c r="B16" s="51" t="s">
        <v>1749</v>
      </c>
    </row>
    <row r="17" customFormat="false" ht="15" hidden="false" customHeight="false" outlineLevel="0" collapsed="false">
      <c r="A17" s="184" t="s">
        <v>13</v>
      </c>
      <c r="B17" s="51" t="s">
        <v>1750</v>
      </c>
    </row>
    <row r="18" customFormat="false" ht="15" hidden="false" customHeight="false" outlineLevel="0" collapsed="false">
      <c r="A18" s="185" t="s">
        <v>668</v>
      </c>
      <c r="B18" s="51" t="s">
        <v>1751</v>
      </c>
    </row>
    <row r="19" customFormat="false" ht="15" hidden="false" customHeight="false" outlineLevel="0" collapsed="false">
      <c r="A19" s="186" t="s">
        <v>15</v>
      </c>
      <c r="B19" s="51" t="s">
        <v>1752</v>
      </c>
    </row>
    <row r="20" customFormat="false" ht="15" hidden="false" customHeight="false" outlineLevel="0" collapsed="false">
      <c r="A20" s="187" t="s">
        <v>653</v>
      </c>
      <c r="B20" s="51" t="s">
        <v>1753</v>
      </c>
    </row>
    <row r="21" customFormat="false" ht="15" hidden="false" customHeight="false" outlineLevel="0" collapsed="false">
      <c r="A21" s="188" t="s">
        <v>92</v>
      </c>
      <c r="B21" s="51" t="s">
        <v>1754</v>
      </c>
    </row>
    <row r="22" customFormat="false" ht="15" hidden="false" customHeight="false" outlineLevel="0" collapsed="false">
      <c r="A22" s="189" t="s">
        <v>1755</v>
      </c>
      <c r="B22" s="51" t="s">
        <v>1756</v>
      </c>
    </row>
    <row r="23" customFormat="false" ht="15" hidden="false" customHeight="false" outlineLevel="0" collapsed="false">
      <c r="A23" s="179" t="s">
        <v>1757</v>
      </c>
      <c r="B23" s="51" t="s">
        <v>1758</v>
      </c>
    </row>
    <row r="24" customFormat="false" ht="21.75" hidden="false" customHeight="true" outlineLevel="0" collapsed="false">
      <c r="A24" s="178" t="s">
        <v>1759</v>
      </c>
    </row>
    <row r="25" customFormat="false" ht="15" hidden="false" customHeight="false" outlineLevel="0" collapsed="false">
      <c r="A25" s="179" t="s">
        <v>1760</v>
      </c>
      <c r="B25" s="51" t="s">
        <v>1761</v>
      </c>
    </row>
    <row r="26" customFormat="false" ht="15" hidden="false" customHeight="false" outlineLevel="0" collapsed="false">
      <c r="A26" s="179" t="s">
        <v>1762</v>
      </c>
      <c r="B26" s="51" t="s">
        <v>1763</v>
      </c>
    </row>
    <row r="27" customFormat="false" ht="15" hidden="false" customHeight="false" outlineLevel="0" collapsed="false">
      <c r="A27" s="179" t="s">
        <v>1764</v>
      </c>
      <c r="B27" s="51" t="s">
        <v>1765</v>
      </c>
    </row>
    <row r="28" customFormat="false" ht="15" hidden="false" customHeight="false" outlineLevel="0" collapsed="false">
      <c r="A28" s="179" t="s">
        <v>1766</v>
      </c>
      <c r="B28" s="51" t="s">
        <v>1767</v>
      </c>
    </row>
    <row r="29" customFormat="false" ht="15" hidden="false" customHeight="false" outlineLevel="0" collapsed="false">
      <c r="A29" s="179" t="s">
        <v>1768</v>
      </c>
      <c r="B29" s="51" t="s">
        <v>1769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2026-10-07T08:36:52Z</dcterms:created>
  <dc:creator>openpyxl</dc:creator>
  <dc:description/>
  <dc:language>en-US</dc:language>
  <cp:lastModifiedBy/>
  <dcterms:modified xsi:type="dcterms:W3CDTF">2026-10-07T08:36:53Z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